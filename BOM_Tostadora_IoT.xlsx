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_AliExpress" sheetId="1" r:id="rId5"/>
    <sheet state="visible" name="Resumen" sheetId="2" r:id="rId6"/>
    <sheet state="visible" name="Bateria" sheetId="3" r:id="rId7"/>
    <sheet state="visible" name="AliExpress" sheetId="4" r:id="rId8"/>
  </sheets>
  <definedNames/>
  <calcPr/>
</workbook>
</file>

<file path=xl/sharedStrings.xml><?xml version="1.0" encoding="utf-8"?>
<sst xmlns="http://schemas.openxmlformats.org/spreadsheetml/2006/main" count="631" uniqueCount="341">
  <si>
    <t>BOM TOSTADORA IoT — VERSIÓN ECONÓMICA / ALIEXPRESS</t>
  </si>
  <si>
    <t>Parámetro</t>
  </si>
  <si>
    <t>BATERÍA DEL ENLACE — VERIFICACIÓN OBLIGATORIA</t>
  </si>
  <si>
    <t>Valor</t>
  </si>
  <si>
    <t>Fuente principal</t>
  </si>
  <si>
    <t>AliExpress</t>
  </si>
  <si>
    <t>Presupuesto objetivo (componentes, sin batería)</t>
  </si>
  <si>
    <t>≈ USD 250 máximo</t>
  </si>
  <si>
    <t>Cantidad de líneas BOM</t>
  </si>
  <si>
    <t>Aprobados</t>
  </si>
  <si>
    <t>Dato</t>
  </si>
  <si>
    <t>Estado</t>
  </si>
  <si>
    <t>URL</t>
  </si>
  <si>
    <t>https://es.aliexpress.com/item/1005009624927843.html</t>
  </si>
  <si>
    <t>ID AliExpress</t>
  </si>
  <si>
    <t>1005009624927843</t>
  </si>
  <si>
    <t>Voltaje nominal</t>
  </si>
  <si>
    <t>NO VERIFICADO</t>
  </si>
  <si>
    <t>Capacidad Ah</t>
  </si>
  <si>
    <t>Corriente de descarga</t>
  </si>
  <si>
    <t>BMS</t>
  </si>
  <si>
    <t>Tipo de batería</t>
  </si>
  <si>
    <t>Compatibilidad con arquitectura 12 V</t>
  </si>
  <si>
    <t>NO VERIFICABLE</t>
  </si>
  <si>
    <t>Acción</t>
  </si>
  <si>
    <t>No comprar componentes de potencia basados en esta batería hasta confirmar ficha.</t>
  </si>
  <si>
    <t>Qué debe confirmar el anuncio</t>
  </si>
  <si>
    <t>ID</t>
  </si>
  <si>
    <t>Revisar</t>
  </si>
  <si>
    <t>Voltaje nominal (V)</t>
  </si>
  <si>
    <t>Capacidad (Ah)</t>
  </si>
  <si>
    <t>Corriente continua y pico (A)</t>
  </si>
  <si>
    <t>Química (Li-ion / LiFePO4 / otra) y BMS</t>
  </si>
  <si>
    <t>Dimensiones y peso</t>
  </si>
  <si>
    <t>Pendientes/No verificables</t>
  </si>
  <si>
    <t>Categoría</t>
  </si>
  <si>
    <t>Componente</t>
  </si>
  <si>
    <t>Componente / material</t>
  </si>
  <si>
    <t>Modelo / referencia</t>
  </si>
  <si>
    <t>Cant.</t>
  </si>
  <si>
    <t>Tipo de enlace</t>
  </si>
  <si>
    <t>Alimentación</t>
  </si>
  <si>
    <t>Costo objetivo total (sin batería)</t>
  </si>
  <si>
    <t>Corriente máx.</t>
  </si>
  <si>
    <t>Potencia aprox.</t>
  </si>
  <si>
    <t>Parámetro crítico</t>
  </si>
  <si>
    <t>Nota</t>
  </si>
  <si>
    <t>Control / interfaz</t>
  </si>
  <si>
    <t>Regla crítica</t>
  </si>
  <si>
    <t>BAT-01</t>
  </si>
  <si>
    <t>Precio objetivo USD</t>
  </si>
  <si>
    <t>1</t>
  </si>
  <si>
    <t>Precio real</t>
  </si>
  <si>
    <t>La batería del enlace del usuario NO pudo verificarse desde la web.</t>
  </si>
  <si>
    <t>Fuente AliExpress</t>
  </si>
  <si>
    <t>2</t>
  </si>
  <si>
    <t>Por tanto NO se inventan voltaje, Ah ni corriente de descarga.</t>
  </si>
  <si>
    <t>Observaciones</t>
  </si>
  <si>
    <t>Batería del sistema</t>
  </si>
  <si>
    <t>3</t>
  </si>
  <si>
    <t>El sistema conserva bus de 12 V solo como arquitectura CONDICIONAL.</t>
  </si>
  <si>
    <t>4</t>
  </si>
  <si>
    <t>Si la batería no es 12 V nominal, hay que rediseñar PTC, blower, motor y drivers antes de comprar.</t>
  </si>
  <si>
    <t>DAtasheets</t>
  </si>
  <si>
    <t>5</t>
  </si>
  <si>
    <t>Producto exacto del usuario</t>
  </si>
  <si>
    <t>Se evita comprar componentes de marca &gt; USD 50; se priorizan módulos genéricos económicos.</t>
  </si>
  <si>
    <t>Más datasheets</t>
  </si>
  <si>
    <t>No pude verificar la ficha técnica desde web; no inventar voltaje/capacidad.</t>
  </si>
  <si>
    <t/>
  </si>
  <si>
    <t>HEAT-01</t>
  </si>
  <si>
    <t>Calentador PTC para aire</t>
  </si>
  <si>
    <t>Búsqueda AliExpress</t>
  </si>
  <si>
    <t>PRODUCTO 1005009624927843 (enlace del usuario)</t>
  </si>
  <si>
    <t>https://www.aliexpress.com/wholesale?SearchText=12V+150W+PTC+air+heater</t>
  </si>
  <si>
    <t>PENDIENTE</t>
  </si>
  <si>
    <t>Comprar solo si la ficha confirma 12 V y uso en flujo de aire.</t>
  </si>
  <si>
    <t>FAN-01</t>
  </si>
  <si>
    <t>Voltaje nominal, Ah, BMS, corriente descarga</t>
  </si>
  <si>
    <t>Blower centrífugo 12 V</t>
  </si>
  <si>
    <t>REVISAR</t>
  </si>
  <si>
    <t>https://www.aliexpress.com/wholesale?SearchText=12V+centrifugal+blower+20CFM</t>
  </si>
  <si>
    <t>No aprobar hasta confirmar temperatura admisible con aire de retorno caliente.</t>
  </si>
  <si>
    <t>MOT-01</t>
  </si>
  <si>
    <t>Motorreductor DC</t>
  </si>
  <si>
    <t>Calentamiento</t>
  </si>
  <si>
    <t>PTC 12 V ~150 W</t>
  </si>
  <si>
    <t>https://www.aliexpress.com/wholesale?SearchText=12V+gear+motor+30RPM+high+torque</t>
  </si>
  <si>
    <t>12 V *condicional*</t>
  </si>
  <si>
    <t>Preferir con encoder si el costo es razonable; limitar velocidad por PWM/control.</t>
  </si>
  <si>
    <t>~12.5–15 A</t>
  </si>
  <si>
    <t>~150 W</t>
  </si>
  <si>
    <t>flujo, temperatura, dimensiones</t>
  </si>
  <si>
    <t>DRV-01</t>
  </si>
  <si>
    <t>MOSFET PWM</t>
  </si>
  <si>
    <t>Driver motor DC</t>
  </si>
  <si>
    <t>https://www.tdk-electronics.tdk.com/inf/55/db/PTC/PTC_Heating_B59041_R41.pdf</t>
  </si>
  <si>
    <t>https://www.aliexpress.com/wholesale?SearchText=BTS7960+43A+motor+driver</t>
  </si>
  <si>
    <t>Alternativa económica al driver de marca; verificar calidad del módulo antes de carga máxima.</t>
  </si>
  <si>
    <t>DRV-02</t>
  </si>
  <si>
    <t>MOSFET PTC</t>
  </si>
  <si>
    <t>https://www.aliexpress.com/wholesale?SearchText=DC+MOSFET+30A+PWM+module+12V</t>
  </si>
  <si>
    <t>Debe dimensionarse para corriente real del PTC y montaje con disipación.</t>
  </si>
  <si>
    <t>https://www.mercadolibre.com.co/calentador-ptc-12-v-150-w-temperatura-constante/p/MCO2041864274?matt_tool=19390127&amp;utm_source=google_shopping&amp;utm_medium=organic&amp;pdp_filters=item_id%3AMCO4064487638&amp;from=gshop</t>
  </si>
  <si>
    <t>DRV-03</t>
  </si>
  <si>
    <t>Driver / MOSFET blower</t>
  </si>
  <si>
    <t>https://www.aliexpress.com/wholesale?SearchText=DC+MOSFET+PWM+10A+module</t>
  </si>
  <si>
    <t>Si blower tiene entrada PWM propia, usarla en vez de conmutación de potencia.</t>
  </si>
  <si>
    <t>DC-01</t>
  </si>
  <si>
    <t>Convertidor buck 12→5 V</t>
  </si>
  <si>
    <t>Aire</t>
  </si>
  <si>
    <t>Blower radial 12 V 20–50 m³/h</t>
  </si>
  <si>
    <t>https://www.aliexpress.com/wholesale?SearchText=LM2596+12V+5V+3A+buck+converter</t>
  </si>
  <si>
    <t>Opción económica; ajustar a 5 V y comprobar disipación. No usar para servos si generan picos altos.</t>
  </si>
  <si>
    <t>≤2 A objetivo</t>
  </si>
  <si>
    <t>≤24 W objetivo</t>
  </si>
  <si>
    <t>caudal + presión + temp. máxima</t>
  </si>
  <si>
    <t>TEMP-01</t>
  </si>
  <si>
    <t>PWM si disponible</t>
  </si>
  <si>
    <t>Termopar tipo K</t>
  </si>
  <si>
    <t>https://www.aliexpress.com/wholesale?SearchText=K+type+thermocouple+stainless+steel+probe</t>
  </si>
  <si>
    <t>https://www.mouser.mx/en/ProductDetail/Delta-Electronics/BFB1012VH-AF00?qs=%2FW4LtXOBxKtccuU8ld4itA%3D%3D&amp;srsltid=AfmBOopxObKVHKU6mJiT0Tk2oWD2t_qVJOKxjRifQYTDiS_gJiVbmU0M</t>
  </si>
  <si>
    <t>Elegir longitud suficiente para zona de tambor sin tocar partes móviles.</t>
  </si>
  <si>
    <t>TEMP-02</t>
  </si>
  <si>
    <t>Módulo termopar</t>
  </si>
  <si>
    <t>https://www.aliexpress.com/wholesale?SearchText=MAX6675+thermocouple+module</t>
  </si>
  <si>
    <t>Compatible con ESP32; módulo económico.</t>
  </si>
  <si>
    <t>Movimiento</t>
  </si>
  <si>
    <t>WEIGHT-01</t>
  </si>
  <si>
    <t>12 V 30–60 RPM, ≥0.5 N·m</t>
  </si>
  <si>
    <t>Celda de carga</t>
  </si>
  <si>
    <t>≤6 A objetivo</t>
  </si>
  <si>
    <t>≤72 W máx. objetivo</t>
  </si>
  <si>
    <t>≥0.5 N·m; 20–40 RPM de trabajo</t>
  </si>
  <si>
    <t>PWM</t>
  </si>
  <si>
    <t>https://www.aliexpress.com/wholesale?SearchText=500g+load+cell+straight+bar</t>
  </si>
  <si>
    <t>Revisar si peso de bandeja/estructura entra en rango; calibrar antes del uso.</t>
  </si>
  <si>
    <t>https://www.robotshop.com/es/products/motorreductor-metal-pololu-1501-37dx57l-mm-12v-pinon-helicoidal</t>
  </si>
  <si>
    <t>ADC-01</t>
  </si>
  <si>
    <t>Amplificador ADC para celda</t>
  </si>
  <si>
    <t>https://www.aliexpress.com/wholesale?SearchText=HX711+load+cell+module</t>
  </si>
  <si>
    <t>Económico y adecuado para la celda.</t>
  </si>
  <si>
    <t>BTS7960 43A</t>
  </si>
  <si>
    <t>ENERGY-01</t>
  </si>
  <si>
    <t>5.5–27 V</t>
  </si>
  <si>
    <t>43 A pico</t>
  </si>
  <si>
    <t>Medidor de corriente/potencia</t>
  </si>
  <si>
    <t>—</t>
  </si>
  <si>
    <t>margen frente a corriente de arranque</t>
  </si>
  <si>
    <t>PWM + DIR</t>
  </si>
  <si>
    <t>APROBADO</t>
  </si>
  <si>
    <t>https://www.aliexpress.com/wholesale?SearchText=INA226+current+sensor+module</t>
  </si>
  <si>
    <t>Elegir módulo con shunt adecuado; para 20–30 A usar shunt de valor y potencia apropiados.</t>
  </si>
  <si>
    <t>https://www.alldatasheet.com/datasheet-pdf/pdf/152657/INFINEON/BTS7960.html</t>
  </si>
  <si>
    <t>GATE-01</t>
  </si>
  <si>
    <t>Servo compuerta 1</t>
  </si>
  <si>
    <t>https://www.aliexpress.com/wholesale?SearchText=MG996R+servo+metal+gear</t>
  </si>
  <si>
    <t>https://naylampmechatronics.com/drivers/590-driver-puente-h-bts7960-43a.html</t>
  </si>
  <si>
    <t>Elegido por costo; alimentar desde buck/BEC separado y calcular torque real de compuerta.</t>
  </si>
  <si>
    <t>GATE-02</t>
  </si>
  <si>
    <t>Servo compuerta 2</t>
  </si>
  <si>
    <t>Puede reutilizarse el mismo modelo para simplificar repuestos.</t>
  </si>
  <si>
    <t>POS-01</t>
  </si>
  <si>
    <t>Microswitch compuerta</t>
  </si>
  <si>
    <t>Módulo MOSFET DC 30A+ / low-side</t>
  </si>
  <si>
    <t>https://www.aliexpress.com/wholesale?SearchText=roller+lever+micro+switch+limit+switch</t>
  </si>
  <si>
    <t>5–36 V</t>
  </si>
  <si>
    <t>≥30 A</t>
  </si>
  <si>
    <t>Una unidad por compuerta; preferir montaje protegido del calor y polvo.</t>
  </si>
  <si>
    <t>≥360 W teórico</t>
  </si>
  <si>
    <t>baja Rds(on), disipación</t>
  </si>
  <si>
    <t>MCU-01</t>
  </si>
  <si>
    <t>ESP32 DevKit</t>
  </si>
  <si>
    <t>https://www.aliexpress.com/wholesale?SearchText=ESP32+WROOM+32+development+board</t>
  </si>
  <si>
    <r>
      <rPr>
        <rFont val="Carlito"/>
        <color rgb="FF434343"/>
        <sz val="11.0"/>
        <u/>
      </rPr>
      <t>https://alltransistors.com/mosfet/transistor.php?transistor=21071</t>
    </r>
    <r>
      <rPr>
        <rFont val="Carlito"/>
        <color rgb="FF1F1F1F"/>
        <sz val="11.0"/>
        <u/>
      </rPr>
      <t xml:space="preserve">  </t>
    </r>
  </si>
  <si>
    <t>Usar como autoridad de control; no depender de Wi-Fi para seguridad.</t>
  </si>
  <si>
    <t>LCD-01</t>
  </si>
  <si>
    <t>LCD 20x4 con I2C</t>
  </si>
  <si>
    <t>https://www.aliexpress.com/wholesale?SearchText=LCD+2004+I2C+5V</t>
  </si>
  <si>
    <t>Mantener fuera de cámara térmica.</t>
  </si>
  <si>
    <t>BTN-01</t>
  </si>
  <si>
    <t>Botones físicos</t>
  </si>
  <si>
    <t>Módulo MOSFET PWM DC 10A+</t>
  </si>
  <si>
    <t>https://www.aliexpress.com/wholesale?SearchText=push+button+momentary+panel+mount</t>
  </si>
  <si>
    <t>Total para START, STOP, Tostión 1/2/3 y Manual puede ser 6; esta fila es paquete genérico.</t>
  </si>
  <si>
    <t>≥10 A</t>
  </si>
  <si>
    <t>≥120 W teórico</t>
  </si>
  <si>
    <t>FUSE-01</t>
  </si>
  <si>
    <t>corriente del blower</t>
  </si>
  <si>
    <t>Fusible automotriz + portafusible</t>
  </si>
  <si>
    <t>https://www.aliexpress.com/wholesale?SearchText=30A+automotive+fuse+holder+12V</t>
  </si>
  <si>
    <t>https://www.alldatasheet.com/view.jsp?Searchword=DRV02&amp;sField=1</t>
  </si>
  <si>
    <t>Valor definitivo después de corriente total y calibre de cable.</t>
  </si>
  <si>
    <t>THERM-01</t>
  </si>
  <si>
    <t>Termostato/interruptor térmico</t>
  </si>
  <si>
    <t>https://www.alldatasheet.es/datasheet-pdf/pdf/90086/IRF/LR7843.html</t>
  </si>
  <si>
    <t>https://www.aliexpress.com/wholesale?SearchText=KSD301+normally+closed+thermal+switch</t>
  </si>
  <si>
    <t>Debe instalarse como corte independiente del control del ESP32.</t>
  </si>
  <si>
    <t>WIRE-01</t>
  </si>
  <si>
    <t>Cable silicona alta temperatura</t>
  </si>
  <si>
    <t>https://www.alldatasheet.com/view.jsp?Searchword=D4184&amp;gad_source=1&amp;gad_campaignid=1820169284&amp;gbraid=0AAAAADcdDU-SRuIKVX1-0gRNq7-9XvCoc&amp;gclid=CjwKCAjwtp7VBhBjEiwAJfpV-zCoM0re-kyeAvyhSTmYKnXtmt-QcDcThVOxp0bpzQ9xuzdF7aUjxRoCxwcQAvD_BwE</t>
  </si>
  <si>
    <t>https://www.aliexpress.com/wholesale?SearchText=high+temperature+silicone+wire+AWG14+AWG18</t>
  </si>
  <si>
    <t>Calibre final depende de corriente de PTC/blower/motor y longitud.</t>
  </si>
  <si>
    <t>CON-01</t>
  </si>
  <si>
    <t>Conectores / terminales</t>
  </si>
  <si>
    <t>https://www.aliexpress.com/wholesale?SearchText=XT60+connector+terminal+block+12V</t>
  </si>
  <si>
    <t>Usar XT60 o equivalente para conexión de batería/bus principal.</t>
  </si>
  <si>
    <t>Electrónica</t>
  </si>
  <si>
    <t>BRG-01</t>
  </si>
  <si>
    <t>LM2596 ajustable 3 A</t>
  </si>
  <si>
    <t>Rodamientos eje</t>
  </si>
  <si>
    <t>https://www.aliexpress.com/wholesale?SearchText=stainless+steel+bearing+6mm+8mm</t>
  </si>
  <si>
    <t>Seleccionar después de fijar diámetro de eje.</t>
  </si>
  <si>
    <t>SHAFT-01</t>
  </si>
  <si>
    <t>Eje acero inoxidable</t>
  </si>
  <si>
    <t>3 A</t>
  </si>
  <si>
    <t>15 W+ según módulo</t>
  </si>
  <si>
    <t>tensión de salida estable</t>
  </si>
  <si>
    <t>https://www.aliexpress.com/wholesale?SearchText=stainless+steel+round+rod+6mm+8mm</t>
  </si>
  <si>
    <t>Diámetro definitivo requiere cálculo mecánico.</t>
  </si>
  <si>
    <t>COUP-01</t>
  </si>
  <si>
    <t>Acoplamiento flexible</t>
  </si>
  <si>
    <t>https://www.aliexpress.com/wholesale?SearchText=flexible+shaft+coupling+6mm+motor</t>
  </si>
  <si>
    <t>Elegir diámetro exacto después de motor/eje.</t>
  </si>
  <si>
    <t>DRUM-01</t>
  </si>
  <si>
    <t>Lámina acero inoxidable</t>
  </si>
  <si>
    <t>https://www.aliexpress.com/wholesale?SearchText=304+stainless+steel+sheet+1mm</t>
  </si>
  <si>
    <t>https://www.alldatasheet.com/datasheet-pdf/download/330641/CYSTEKEC/LM2596-12E5.html</t>
  </si>
  <si>
    <t>El espesor y perforaciones deben validarse mecánicamente.</t>
  </si>
  <si>
    <t>INS-01</t>
  </si>
  <si>
    <t>Aislamiento cerámico / lana mineral</t>
  </si>
  <si>
    <t>https://www.aliexpress.com/wholesale?SearchText=ceramic+fiber+blanket+25mm+high+temperature</t>
  </si>
  <si>
    <t>No usar espuma plástica común cerca de la cámara caliente.</t>
  </si>
  <si>
    <t>DUCT-01</t>
  </si>
  <si>
    <t>Ducto flexible de alta temperatura</t>
  </si>
  <si>
    <t>https://www.aliexpress.com/wholesale?SearchText=high+temperature+silicone+fiberglass+duct</t>
  </si>
  <si>
    <t>Seleccionar diámetro y temperatura después de blower.</t>
  </si>
  <si>
    <t>DUCT-02</t>
  </si>
  <si>
    <t>Sensores</t>
  </si>
  <si>
    <t>Abrazaderas / sellos</t>
  </si>
  <si>
    <t>https://www.aliexpress.com/wholesale?SearchText=stainless+steel+hose+clamp+set</t>
  </si>
  <si>
    <t>Para montaje de conductos.</t>
  </si>
  <si>
    <t>HEAT-02</t>
  </si>
  <si>
    <t>Disipador para MOSFET</t>
  </si>
  <si>
    <t>https://www.aliexpress.com/wholesale?SearchText=aluminum+heatsink+MOSFET+TO220</t>
  </si>
  <si>
    <t>Uno para PTC y uno para blower si aplica.</t>
  </si>
  <si>
    <t>PCB-01</t>
  </si>
  <si>
    <t>Protoboard/borneras/placa perforada</t>
  </si>
  <si>
    <t>https://www.aliexpress.com/wholesale?SearchText=prototype+PCB+terminal+block+ESP32</t>
  </si>
  <si>
    <t>No pasar la corriente del PTC por protoboard.</t>
  </si>
  <si>
    <t>Sonda K acero inoxidable</t>
  </si>
  <si>
    <t>rango y longitud</t>
  </si>
  <si>
    <t>Termopar</t>
  </si>
  <si>
    <t>https://www.tc-sa.es/termopares/tipo-k-termopar.html</t>
  </si>
  <si>
    <t>MAX6675</t>
  </si>
  <si>
    <t>3.3–5 V</t>
  </si>
  <si>
    <t>bajo</t>
  </si>
  <si>
    <t>rango/precisión</t>
  </si>
  <si>
    <t>SPI</t>
  </si>
  <si>
    <t>https://www.alldatasheet.com/datasheet-pdf/download/1150018/MAXIM/MAX6675.html</t>
  </si>
  <si>
    <t>500 g straight-bar</t>
  </si>
  <si>
    <t>5 V típica</t>
  </si>
  <si>
    <t>mA de puente</t>
  </si>
  <si>
    <t>capacidad 500 g</t>
  </si>
  <si>
    <t>puente Wheatstone</t>
  </si>
  <si>
    <t>HX711</t>
  </si>
  <si>
    <t>2.6–5.5 V</t>
  </si>
  <si>
    <t>24-bit, diferencial</t>
  </si>
  <si>
    <t>2 GPIO</t>
  </si>
  <si>
    <t>https://www.alldatasheet.com/datasheet-pdf/download/1132222/AVIA/HX711.html</t>
  </si>
  <si>
    <t>INA226 module</t>
  </si>
  <si>
    <t>3–5 V lógica</t>
  </si>
  <si>
    <t>según shunt</t>
  </si>
  <si>
    <t>bus ≤36 V; shunt</t>
  </si>
  <si>
    <t>I2C</t>
  </si>
  <si>
    <t>Actuadores</t>
  </si>
  <si>
    <t>MG996R / metal gear servo</t>
  </si>
  <si>
    <t>5–6 V</t>
  </si>
  <si>
    <t>≈2.5 A pico típico</t>
  </si>
  <si>
    <t>torque suficiente</t>
  </si>
  <si>
    <t>Micro switch lever roller</t>
  </si>
  <si>
    <t>3.3/5 V GPIO</t>
  </si>
  <si>
    <t>mA</t>
  </si>
  <si>
    <t>dos estados</t>
  </si>
  <si>
    <t>GPIO</t>
  </si>
  <si>
    <t>Control</t>
  </si>
  <si>
    <t>ESP32-WROOM-32 Dev Board</t>
  </si>
  <si>
    <t>5 V USB / 3.3 V lógica</t>
  </si>
  <si>
    <t>~0.5 A picos aprox.</t>
  </si>
  <si>
    <t>&lt;3 W típico</t>
  </si>
  <si>
    <t>Wi-Fi, GPIO, SPI, I2C</t>
  </si>
  <si>
    <t>Wi-Fi/SPI/I2C/PWM</t>
  </si>
  <si>
    <t>Interfaz</t>
  </si>
  <si>
    <t>LCD2004 I2C</t>
  </si>
  <si>
    <t>5 V</t>
  </si>
  <si>
    <t>&lt;100 mA típico</t>
  </si>
  <si>
    <t>&lt;0.5 W</t>
  </si>
  <si>
    <t>20x4</t>
  </si>
  <si>
    <t>https://es.aliexpress.com/item/1005007046647456.html?src=google&amp;src=google&amp;albch=shopping&amp;acnt=272-267-0231&amp;isdl=y&amp;slnk=&amp;plac=&amp;mtctp=&amp;albbt=Google_7_shopping&amp;aff_platform=google&amp;aff_short_key=UneMJZVf&amp;albagn=888888&amp;ds_e_adid=&amp;ds_e_matchtype=&amp;ds_e_device=c&amp;ds_e_network=x&amp;ds_e_product_group_id=&amp;ds_e_product_id=es1005007046647456&amp;ds_e_product_merchant_id=5384603311&amp;ds_e_product_country=CO&amp;ds_e_product_language=es&amp;ds_e_product_channel=online&amp;ds_e_product_store_id=&amp;ds_url_v=2&amp;albcp=24215631524&amp;albag=&amp;isSmbAutoCall=false&amp;needSmbHouyi=false</t>
  </si>
  <si>
    <t>START/STOP/MODO x5</t>
  </si>
  <si>
    <t>3.3 V GPIO</t>
  </si>
  <si>
    <t>mínima</t>
  </si>
  <si>
    <t>contacto fiable</t>
  </si>
  <si>
    <t>Protección</t>
  </si>
  <si>
    <t>25–30 A</t>
  </si>
  <si>
    <t>protección del bus</t>
  </si>
  <si>
    <t>Seguridad</t>
  </si>
  <si>
    <t>KSD301 / NC alta temperatura</t>
  </si>
  <si>
    <t>según versión</t>
  </si>
  <si>
    <t>umbral independiente</t>
  </si>
  <si>
    <t>contacto</t>
  </si>
  <si>
    <t>Cableado</t>
  </si>
  <si>
    <t>AWG14–18 según rama</t>
  </si>
  <si>
    <t>12 V</t>
  </si>
  <si>
    <t>según calibre</t>
  </si>
  <si>
    <t>temperatura + corriente</t>
  </si>
  <si>
    <t>XT60 + terminales + regletas</t>
  </si>
  <si>
    <t>≥30 A para potencia</t>
  </si>
  <si>
    <t>corriente y temperatura</t>
  </si>
  <si>
    <t>Mecánico</t>
  </si>
  <si>
    <t>625/626/608 según eje final</t>
  </si>
  <si>
    <t>carga + temperatura</t>
  </si>
  <si>
    <t>Ø6–10 mm según diseño</t>
  </si>
  <si>
    <t>rigidez y temperatura</t>
  </si>
  <si>
    <t>6 mm ↔ eje final</t>
  </si>
  <si>
    <t>torque ≥ requerido</t>
  </si>
  <si>
    <t>0.8–1.0 mm objetivo</t>
  </si>
  <si>
    <t>temperatura + contacto café</t>
  </si>
  <si>
    <t>Térmico</t>
  </si>
  <si>
    <t>25 mm objetivo</t>
  </si>
  <si>
    <t>temperatura máxima</t>
  </si>
  <si>
    <t>Silicone fiberglass duct</t>
  </si>
  <si>
    <t>temperatura + diámetro</t>
  </si>
  <si>
    <t>Stainless hose clamp set</t>
  </si>
  <si>
    <t>resistencia térmica</t>
  </si>
  <si>
    <t>Aluminum heatsink kit</t>
  </si>
  <si>
    <t>disipación</t>
  </si>
  <si>
    <t>Montaje</t>
  </si>
  <si>
    <t>Perfboard + screw terminals</t>
  </si>
  <si>
    <t>corriente de señal</t>
  </si>
  <si>
    <t>GPIO/I2C/SPI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</si>
</sst>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$0.00"/>
  </numFmts>
  <fonts count="11">
    <font>
      <sz val="11.0"/>
      <color rgb="FF000000"/>
      <name val="Carlito"/>
      <scheme val="minor"/>
    </font>
    <font>
      <b/>
      <sz val="14.0"/>
      <color rgb="FFFFFFFF"/>
      <name val="Carlito"/>
    </font>
    <font>
      <sz val="11.0"/>
      <color theme="1"/>
      <name val="Carlito"/>
    </font>
    <font>
      <b/>
      <sz val="11.0"/>
      <color rgb="FFFFFFFF"/>
      <name val="Carlito"/>
    </font>
    <font>
      <color theme="1"/>
      <name val="Carlito"/>
      <scheme val="minor"/>
    </font>
    <font>
      <u/>
      <sz val="11.0"/>
      <color rgb="FF0000FF"/>
      <name val="Carlito"/>
    </font>
    <font>
      <u/>
      <sz val="11.0"/>
      <color rgb="FF434343"/>
      <name val="Carlito"/>
    </font>
    <font>
      <u/>
      <color rgb="FF0000FF"/>
    </font>
    <font>
      <u/>
      <sz val="11.0"/>
      <color rgb="FF0000FF"/>
      <name val="Carlito"/>
    </font>
    <font>
      <u/>
      <sz val="11.0"/>
      <color rgb="FF0000FF"/>
      <name val="Carlito"/>
    </font>
    <font>
      <u/>
      <sz val="11.0"/>
      <color rgb="FF0000FF"/>
      <name val="Carlito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AF2F8"/>
        <bgColor rgb="FFEAF2F8"/>
      </patternFill>
    </fill>
    <fill>
      <patternFill patternType="solid">
        <fgColor rgb="FF7F1D1D"/>
        <bgColor rgb="FF7F1D1D"/>
      </patternFill>
    </fill>
    <fill>
      <patternFill patternType="solid">
        <fgColor rgb="FFC00000"/>
        <bgColor rgb="FFC00000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3" fontId="2" numFmtId="0" xfId="0" applyAlignment="1" applyFill="1" applyFont="1">
      <alignment shrinkToFit="0" wrapText="1"/>
    </xf>
    <xf borderId="0" fillId="4" fontId="1" numFmtId="0" xfId="0" applyAlignment="1" applyFill="1" applyFont="1">
      <alignment horizontal="center"/>
    </xf>
    <xf borderId="0" fillId="0" fontId="2" numFmtId="0" xfId="0" applyAlignment="1" applyFont="1">
      <alignment shrinkToFit="0" wrapText="1"/>
    </xf>
    <xf borderId="0" fillId="5" fontId="3" numFmtId="0" xfId="0" applyAlignment="1" applyFill="1" applyFont="1">
      <alignment shrinkToFit="0" wrapText="1"/>
    </xf>
    <xf borderId="0" fillId="2" fontId="3" numFmtId="0" xfId="0" applyAlignment="1" applyFill="1" applyFont="1">
      <alignment horizontal="center" readingOrder="0" shrinkToFit="0" vertical="center" wrapText="1"/>
    </xf>
    <xf borderId="0" fillId="2" fontId="3" numFmtId="0" xfId="0" applyAlignment="1" applyFill="1" applyFont="1">
      <alignment horizontal="left" readingOrder="0" shrinkToFit="0" vertical="center" wrapText="1"/>
    </xf>
    <xf borderId="0" fillId="3" fontId="2" numFmtId="164" xfId="0" applyAlignment="1" applyFill="1" applyFont="1" applyNumberFormat="1">
      <alignment shrinkToFit="0" wrapText="1"/>
    </xf>
    <xf borderId="0" fillId="0" fontId="2" numFmtId="0" xfId="0" applyAlignment="1" applyFont="1">
      <alignment shrinkToFit="0" vertical="center" wrapText="1"/>
    </xf>
    <xf borderId="0" fillId="2" fontId="3" numFmtId="0" xfId="0" applyAlignment="1" applyFill="1" applyFont="1">
      <alignment horizontal="center" readingOrder="0" shrinkToFit="0" vertical="center" wrapText="1"/>
    </xf>
    <xf quotePrefix="1" borderId="0" fillId="0" fontId="4" numFmtId="0" xfId="0" applyAlignment="1" applyFont="1">
      <alignment readingOrder="0"/>
    </xf>
    <xf borderId="0" fillId="0" fontId="2" numFmtId="164" xfId="0" applyAlignment="1" applyFont="1" applyNumberForma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2" numFmtId="164" xfId="0" applyAlignment="1" applyFont="1" applyNumberFormat="1">
      <alignment readingOrder="0" shrinkToFit="0" vertical="center" wrapText="1"/>
    </xf>
    <xf borderId="0" fillId="0" fontId="10" numFmtId="0" xfId="0" applyAlignment="1" applyFont="1">
      <alignment readingOrder="0" shrinkToFit="0" vertical="center" wrapText="1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DCFCE7"/>
          <bgColor rgb="FFDCFCE7"/>
        </patternFill>
      </fill>
      <border/>
    </dxf>
    <dxf>
      <font/>
      <fill>
        <patternFill patternType="solid">
          <fgColor rgb="FFFEF3C7"/>
          <bgColor rgb="FFFEF3C7"/>
        </patternFill>
      </fill>
      <border/>
    </dxf>
    <dxf>
      <font/>
      <fill>
        <patternFill patternType="solid">
          <fgColor rgb="FFE5E7EB"/>
          <bgColor rgb="FFE5E7EB"/>
        </patternFill>
      </fill>
      <border/>
    </dxf>
    <dxf>
      <font/>
      <fill>
        <patternFill patternType="solid">
          <fgColor rgb="FFFECACA"/>
          <bgColor rgb="FFFECACA"/>
        </patternFill>
      </fill>
      <border/>
    </dxf>
  </dxfs>
  <tableStyles count="2">
    <tableStyle count="4" pivot="0" name="BOM_AliExpres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liExpres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33" displayName="L" name="L" id="2">
  <tableColumns count="17">
    <tableColumn name="ID" id="1"/>
    <tableColumn name="Categoría" id="2"/>
    <tableColumn name="Componente / material" id="3"/>
    <tableColumn name="Modelo / referencia" id="4"/>
    <tableColumn name="Cant." id="5"/>
    <tableColumn name="Alimentación" id="6"/>
    <tableColumn name="Corriente máx." id="7"/>
    <tableColumn name="Potencia aprox." id="8"/>
    <tableColumn name="Parámetro crítico" id="9"/>
    <tableColumn name="Control / interfaz" id="10"/>
    <tableColumn name="Estado" id="11"/>
    <tableColumn name="Precio objetivo USD" id="12"/>
    <tableColumn name="Precio real" id="13"/>
    <tableColumn name="Fuente AliExpress" id="14"/>
    <tableColumn name="Observaciones" id="15"/>
    <tableColumn name="DAtasheets" id="16"/>
    <tableColumn name="Más datasheets" id="17"/>
  </tableColumns>
  <tableStyleInfo name="BOM_AliExpress-style" showColumnStripes="0" showFirstColumn="1" showLastColumn="1" showRowStripes="1"/>
</table>
</file>

<file path=xl/tables/table2.xml><?xml version="1.0" encoding="utf-8"?>
<table xmlns="http://schemas.openxmlformats.org/spreadsheetml/2006/main" ref="A1:E33" displayName="AliExpressLinks" name="AliExpressLinks" id="1">
  <tableColumns count="5">
    <tableColumn name="ID" id="1"/>
    <tableColumn name="Componente" id="2"/>
    <tableColumn name="Tipo de enlace" id="3"/>
    <tableColumn name="URL" id="4"/>
    <tableColumn name="Nota" id="5"/>
  </tableColumns>
  <tableStyleInfo name="AliExpres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lldatasheet.com/datasheet-pdf/download/330641/CYSTEKEC/LM2596-12E5.html" TargetMode="External"/><Relationship Id="rId10" Type="http://schemas.openxmlformats.org/officeDocument/2006/relationships/hyperlink" Target="https://www.alldatasheet.com/view.jsp?Searchword=D4184&amp;gad_source=1&amp;gad_campaignid=1820169284&amp;gbraid=0AAAAADcdDU-SRuIKVX1-0gRNq7-9XvCoc&amp;gclid=CjwKCAjwtp7VBhBjEiwAJfpV-zCoM0re-kyeAvyhSTmYKnXtmt-QcDcThVOxp0bpzQ9xuzdF7aUjxRoCxwcQAvD_BwE" TargetMode="External"/><Relationship Id="rId13" Type="http://schemas.openxmlformats.org/officeDocument/2006/relationships/hyperlink" Target="https://www.alldatasheet.com/datasheet-pdf/download/1150018/MAXIM/MAX6675.html" TargetMode="External"/><Relationship Id="rId12" Type="http://schemas.openxmlformats.org/officeDocument/2006/relationships/hyperlink" Target="https://www.tc-sa.es/termopares/tipo-k-termopar.html" TargetMode="External"/><Relationship Id="rId1" Type="http://schemas.openxmlformats.org/officeDocument/2006/relationships/hyperlink" Target="https://www.tdk-electronics.tdk.com/inf/55/db/PTC/PTC_Heating_B59041_R41.pdf" TargetMode="External"/><Relationship Id="rId2" Type="http://schemas.openxmlformats.org/officeDocument/2006/relationships/hyperlink" Target="https://www.mercadolibre.com.co/calentador-ptc-12-v-150-w-temperatura-constante/p/MCO2041864274?matt_tool=19390127&amp;utm_source=google_shopping&amp;utm_medium=organic&amp;pdp_filters=item_id%3AMCO4064487638&amp;from=gshop" TargetMode="External"/><Relationship Id="rId3" Type="http://schemas.openxmlformats.org/officeDocument/2006/relationships/hyperlink" Target="https://www.mouser.mx/en/ProductDetail/Delta-Electronics/BFB1012VH-AF00?qs=%2FW4LtXOBxKtccuU8ld4itA%3D%3D&amp;srsltid=AfmBOopxObKVHKU6mJiT0Tk2oWD2t_qVJOKxjRifQYTDiS_gJiVbmU0M" TargetMode="External"/><Relationship Id="rId4" Type="http://schemas.openxmlformats.org/officeDocument/2006/relationships/hyperlink" Target="https://www.robotshop.com/es/products/motorreductor-metal-pololu-1501-37dx57l-mm-12v-pinon-helicoidal" TargetMode="External"/><Relationship Id="rId9" Type="http://schemas.openxmlformats.org/officeDocument/2006/relationships/hyperlink" Target="https://www.alldatasheet.es/datasheet-pdf/pdf/90086/IRF/LR7843.html" TargetMode="External"/><Relationship Id="rId15" Type="http://schemas.openxmlformats.org/officeDocument/2006/relationships/hyperlink" Target="https://www.aliexpress.com/wholesale?SearchText=MG996R+servo+metal+gear" TargetMode="External"/><Relationship Id="rId14" Type="http://schemas.openxmlformats.org/officeDocument/2006/relationships/hyperlink" Target="https://www.alldatasheet.com/datasheet-pdf/download/1132222/AVIA/HX711.html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es.aliexpress.com/item/1005007046647456.html?src=google&amp;src=google&amp;albch=shopping&amp;acnt=272-267-0231&amp;isdl=y&amp;slnk=&amp;plac=&amp;mtctp=&amp;albbt=Google_7_shopping&amp;aff_platform=google&amp;aff_short_key=UneMJZVf&amp;albagn=888888&amp;ds_e_adid=&amp;ds_e_matchtype=&amp;ds_e_device=c&amp;ds_e_network=x&amp;ds_e_product_group_id=&amp;ds_e_product_id=es1005007046647456&amp;ds_e_product_merchant_id=5384603311&amp;ds_e_product_country=CO&amp;ds_e_product_language=es&amp;ds_e_product_channel=online&amp;ds_e_product_store_id=&amp;ds_url_v=2&amp;albcp=24215631524&amp;albag=&amp;isSmbAutoCall=false&amp;needSmbHouyi=false" TargetMode="External"/><Relationship Id="rId5" Type="http://schemas.openxmlformats.org/officeDocument/2006/relationships/hyperlink" Target="https://www.alldatasheet.com/datasheet-pdf/pdf/152657/INFINEON/BTS7960.html" TargetMode="External"/><Relationship Id="rId19" Type="http://schemas.openxmlformats.org/officeDocument/2006/relationships/table" Target="../tables/table1.xml"/><Relationship Id="rId6" Type="http://schemas.openxmlformats.org/officeDocument/2006/relationships/hyperlink" Target="https://naylampmechatronics.com/drivers/590-driver-puente-h-bts7960-43a.html" TargetMode="External"/><Relationship Id="rId7" Type="http://schemas.openxmlformats.org/officeDocument/2006/relationships/hyperlink" Target="https://alltransistors.com/mosfet/transistor.php?transistor=21071" TargetMode="External"/><Relationship Id="rId8" Type="http://schemas.openxmlformats.org/officeDocument/2006/relationships/hyperlink" Target="https://www.alldatasheet.com/view.jsp?Searchword=DRV02&amp;sField=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0"/>
    <col customWidth="1" min="2" max="2" width="16.0"/>
    <col customWidth="1" min="3" max="3" width="26.0"/>
    <col customWidth="1" min="4" max="4" width="28.0"/>
    <col customWidth="1" min="5" max="5" width="7.0"/>
    <col customWidth="1" min="6" max="6" width="18.0"/>
    <col customWidth="1" min="7" max="8" width="15.0"/>
    <col customWidth="1" min="9" max="9" width="28.0"/>
    <col customWidth="1" min="10" max="10" width="18.0"/>
    <col customWidth="1" min="11" max="11" width="14.0"/>
    <col customWidth="1" min="12" max="12" width="16.0"/>
    <col customWidth="1" min="13" max="13" width="14.0"/>
    <col customWidth="1" min="14" max="15" width="55.0"/>
    <col customWidth="1" min="16" max="26" width="8.63"/>
  </cols>
  <sheetData>
    <row r="1" ht="31.5" customHeight="1">
      <c r="A1" s="6" t="s">
        <v>27</v>
      </c>
      <c r="B1" s="6" t="s">
        <v>35</v>
      </c>
      <c r="C1" s="6" t="s">
        <v>37</v>
      </c>
      <c r="D1" s="6" t="s">
        <v>38</v>
      </c>
      <c r="E1" s="6" t="s">
        <v>39</v>
      </c>
      <c r="F1" s="6" t="s">
        <v>41</v>
      </c>
      <c r="G1" s="6" t="s">
        <v>43</v>
      </c>
      <c r="H1" s="6" t="s">
        <v>44</v>
      </c>
      <c r="I1" s="6" t="s">
        <v>45</v>
      </c>
      <c r="J1" s="6" t="s">
        <v>47</v>
      </c>
      <c r="K1" s="6" t="s">
        <v>11</v>
      </c>
      <c r="L1" s="6" t="s">
        <v>50</v>
      </c>
      <c r="M1" s="6" t="s">
        <v>52</v>
      </c>
      <c r="N1" s="6" t="s">
        <v>54</v>
      </c>
      <c r="O1" s="6" t="s">
        <v>57</v>
      </c>
      <c r="P1" s="10" t="s">
        <v>63</v>
      </c>
      <c r="Q1" s="10" t="s">
        <v>67</v>
      </c>
      <c r="S1" s="11" t="s">
        <v>69</v>
      </c>
    </row>
    <row r="2" ht="31.5" customHeight="1">
      <c r="A2" s="9" t="s">
        <v>49</v>
      </c>
      <c r="B2" s="9" t="s">
        <v>41</v>
      </c>
      <c r="C2" s="9" t="s">
        <v>58</v>
      </c>
      <c r="D2" s="9" t="s">
        <v>73</v>
      </c>
      <c r="E2" s="9">
        <v>1.0</v>
      </c>
      <c r="F2" s="9" t="s">
        <v>75</v>
      </c>
      <c r="G2" s="9" t="s">
        <v>75</v>
      </c>
      <c r="H2" s="9" t="s">
        <v>75</v>
      </c>
      <c r="I2" s="9" t="s">
        <v>78</v>
      </c>
      <c r="J2" s="9" t="s">
        <v>75</v>
      </c>
      <c r="K2" s="9" t="s">
        <v>80</v>
      </c>
      <c r="L2" s="12">
        <v>0.0</v>
      </c>
      <c r="M2" s="12"/>
      <c r="N2" s="9" t="s">
        <v>13</v>
      </c>
      <c r="O2" s="9" t="s">
        <v>68</v>
      </c>
      <c r="P2" s="13"/>
      <c r="Q2" s="13"/>
    </row>
    <row r="3" ht="31.5" customHeight="1">
      <c r="A3" s="9" t="s">
        <v>70</v>
      </c>
      <c r="B3" s="9" t="s">
        <v>85</v>
      </c>
      <c r="C3" s="9" t="s">
        <v>71</v>
      </c>
      <c r="D3" s="9" t="s">
        <v>86</v>
      </c>
      <c r="E3" s="9">
        <v>1.0</v>
      </c>
      <c r="F3" s="9" t="s">
        <v>88</v>
      </c>
      <c r="G3" s="9" t="s">
        <v>90</v>
      </c>
      <c r="H3" s="9" t="s">
        <v>91</v>
      </c>
      <c r="I3" s="9" t="s">
        <v>92</v>
      </c>
      <c r="J3" s="9" t="s">
        <v>94</v>
      </c>
      <c r="K3" s="9" t="s">
        <v>80</v>
      </c>
      <c r="L3" s="12">
        <v>15.0</v>
      </c>
      <c r="M3" s="12"/>
      <c r="N3" s="9" t="s">
        <v>74</v>
      </c>
      <c r="O3" s="9" t="s">
        <v>76</v>
      </c>
      <c r="P3" s="14" t="s">
        <v>96</v>
      </c>
      <c r="Q3" s="14" t="s">
        <v>103</v>
      </c>
    </row>
    <row r="4" ht="31.5" customHeight="1">
      <c r="A4" s="9" t="s">
        <v>77</v>
      </c>
      <c r="B4" s="9" t="s">
        <v>110</v>
      </c>
      <c r="C4" s="9" t="s">
        <v>79</v>
      </c>
      <c r="D4" s="9" t="s">
        <v>111</v>
      </c>
      <c r="E4" s="9">
        <v>1.0</v>
      </c>
      <c r="F4" s="9" t="s">
        <v>88</v>
      </c>
      <c r="G4" s="9" t="s">
        <v>114</v>
      </c>
      <c r="H4" s="9" t="s">
        <v>115</v>
      </c>
      <c r="I4" s="9" t="s">
        <v>116</v>
      </c>
      <c r="J4" s="9" t="s">
        <v>118</v>
      </c>
      <c r="K4" s="9" t="s">
        <v>80</v>
      </c>
      <c r="L4" s="12">
        <v>15.0</v>
      </c>
      <c r="M4" s="12"/>
      <c r="N4" s="9" t="s">
        <v>81</v>
      </c>
      <c r="O4" s="9" t="s">
        <v>82</v>
      </c>
      <c r="P4" s="13"/>
      <c r="Q4" s="14" t="s">
        <v>121</v>
      </c>
    </row>
    <row r="5" ht="31.5" customHeight="1">
      <c r="A5" s="9" t="s">
        <v>83</v>
      </c>
      <c r="B5" s="9" t="s">
        <v>127</v>
      </c>
      <c r="C5" s="9" t="s">
        <v>84</v>
      </c>
      <c r="D5" s="9" t="s">
        <v>129</v>
      </c>
      <c r="E5" s="9">
        <v>1.0</v>
      </c>
      <c r="F5" s="9" t="s">
        <v>88</v>
      </c>
      <c r="G5" s="9" t="s">
        <v>131</v>
      </c>
      <c r="H5" s="9" t="s">
        <v>132</v>
      </c>
      <c r="I5" s="9" t="s">
        <v>133</v>
      </c>
      <c r="J5" s="9" t="s">
        <v>134</v>
      </c>
      <c r="K5" s="9" t="s">
        <v>80</v>
      </c>
      <c r="L5" s="12">
        <v>25.0</v>
      </c>
      <c r="M5" s="12"/>
      <c r="N5" s="9" t="s">
        <v>87</v>
      </c>
      <c r="O5" s="9" t="s">
        <v>89</v>
      </c>
      <c r="P5" s="14" t="s">
        <v>137</v>
      </c>
      <c r="Q5" s="15"/>
    </row>
    <row r="6" ht="31.5" customHeight="1">
      <c r="A6" s="9" t="s">
        <v>93</v>
      </c>
      <c r="B6" s="9" t="s">
        <v>127</v>
      </c>
      <c r="C6" s="9" t="s">
        <v>95</v>
      </c>
      <c r="D6" s="9" t="s">
        <v>142</v>
      </c>
      <c r="E6" s="9">
        <v>1.0</v>
      </c>
      <c r="F6" s="9" t="s">
        <v>144</v>
      </c>
      <c r="G6" s="9" t="s">
        <v>145</v>
      </c>
      <c r="H6" s="9" t="s">
        <v>147</v>
      </c>
      <c r="I6" s="9" t="s">
        <v>148</v>
      </c>
      <c r="J6" s="9" t="s">
        <v>149</v>
      </c>
      <c r="K6" s="9" t="s">
        <v>150</v>
      </c>
      <c r="L6" s="12">
        <v>6.0</v>
      </c>
      <c r="M6" s="12"/>
      <c r="N6" s="9" t="s">
        <v>97</v>
      </c>
      <c r="O6" s="9" t="s">
        <v>98</v>
      </c>
      <c r="P6" s="14" t="s">
        <v>153</v>
      </c>
      <c r="Q6" s="14" t="s">
        <v>157</v>
      </c>
    </row>
    <row r="7" ht="31.5" customHeight="1">
      <c r="A7" s="9" t="s">
        <v>99</v>
      </c>
      <c r="B7" s="9" t="s">
        <v>85</v>
      </c>
      <c r="C7" s="9" t="s">
        <v>100</v>
      </c>
      <c r="D7" s="9" t="s">
        <v>164</v>
      </c>
      <c r="E7" s="9">
        <v>1.0</v>
      </c>
      <c r="F7" s="9" t="s">
        <v>166</v>
      </c>
      <c r="G7" s="9" t="s">
        <v>167</v>
      </c>
      <c r="H7" s="9" t="s">
        <v>169</v>
      </c>
      <c r="I7" s="9" t="s">
        <v>170</v>
      </c>
      <c r="J7" s="9" t="s">
        <v>134</v>
      </c>
      <c r="K7" s="9" t="s">
        <v>80</v>
      </c>
      <c r="L7" s="12">
        <v>5.0</v>
      </c>
      <c r="M7" s="12"/>
      <c r="N7" s="9" t="s">
        <v>101</v>
      </c>
      <c r="O7" s="9" t="s">
        <v>102</v>
      </c>
      <c r="P7" s="16" t="s">
        <v>174</v>
      </c>
      <c r="Q7" s="15"/>
    </row>
    <row r="8" ht="31.5" customHeight="1">
      <c r="A8" s="9" t="s">
        <v>104</v>
      </c>
      <c r="B8" s="9" t="s">
        <v>110</v>
      </c>
      <c r="C8" s="9" t="s">
        <v>105</v>
      </c>
      <c r="D8" s="9" t="s">
        <v>182</v>
      </c>
      <c r="E8" s="9">
        <v>1.0</v>
      </c>
      <c r="F8" s="9" t="s">
        <v>166</v>
      </c>
      <c r="G8" s="9" t="s">
        <v>185</v>
      </c>
      <c r="H8" s="9" t="s">
        <v>186</v>
      </c>
      <c r="I8" s="9" t="s">
        <v>188</v>
      </c>
      <c r="J8" s="9" t="s">
        <v>134</v>
      </c>
      <c r="K8" s="9" t="s">
        <v>80</v>
      </c>
      <c r="L8" s="12">
        <v>4.0</v>
      </c>
      <c r="M8" s="12"/>
      <c r="N8" s="9" t="s">
        <v>106</v>
      </c>
      <c r="O8" s="9" t="s">
        <v>107</v>
      </c>
      <c r="P8" s="16" t="s">
        <v>191</v>
      </c>
      <c r="Q8" s="14" t="s">
        <v>195</v>
      </c>
      <c r="S8" s="17" t="s">
        <v>200</v>
      </c>
    </row>
    <row r="9" ht="31.5" customHeight="1">
      <c r="A9" s="9" t="s">
        <v>108</v>
      </c>
      <c r="B9" s="9" t="s">
        <v>207</v>
      </c>
      <c r="C9" s="9" t="s">
        <v>109</v>
      </c>
      <c r="D9" s="9" t="s">
        <v>209</v>
      </c>
      <c r="E9" s="9">
        <v>1.0</v>
      </c>
      <c r="F9" s="9" t="s">
        <v>88</v>
      </c>
      <c r="G9" s="9" t="s">
        <v>215</v>
      </c>
      <c r="H9" s="9" t="s">
        <v>216</v>
      </c>
      <c r="I9" s="9" t="s">
        <v>217</v>
      </c>
      <c r="J9" s="9" t="s">
        <v>147</v>
      </c>
      <c r="K9" s="9" t="s">
        <v>150</v>
      </c>
      <c r="L9" s="12">
        <v>3.0</v>
      </c>
      <c r="M9" s="12"/>
      <c r="N9" s="9" t="s">
        <v>112</v>
      </c>
      <c r="O9" s="9" t="s">
        <v>113</v>
      </c>
      <c r="P9" s="18" t="s">
        <v>227</v>
      </c>
      <c r="Q9" s="19"/>
    </row>
    <row r="10" ht="31.5" customHeight="1">
      <c r="A10" s="9" t="s">
        <v>117</v>
      </c>
      <c r="B10" s="9" t="s">
        <v>238</v>
      </c>
      <c r="C10" s="9" t="s">
        <v>119</v>
      </c>
      <c r="D10" s="9" t="s">
        <v>250</v>
      </c>
      <c r="E10" s="9">
        <v>1.0</v>
      </c>
      <c r="F10" s="9" t="s">
        <v>147</v>
      </c>
      <c r="G10" s="9" t="s">
        <v>147</v>
      </c>
      <c r="H10" s="9" t="s">
        <v>147</v>
      </c>
      <c r="I10" s="9" t="s">
        <v>251</v>
      </c>
      <c r="J10" s="9" t="s">
        <v>252</v>
      </c>
      <c r="K10" s="9" t="s">
        <v>150</v>
      </c>
      <c r="L10" s="12">
        <v>3.0</v>
      </c>
      <c r="M10" s="12"/>
      <c r="N10" s="9" t="s">
        <v>120</v>
      </c>
      <c r="O10" s="9" t="s">
        <v>122</v>
      </c>
      <c r="P10" s="18" t="s">
        <v>253</v>
      </c>
      <c r="Q10" s="19"/>
    </row>
    <row r="11" ht="31.5" customHeight="1">
      <c r="A11" s="9" t="s">
        <v>123</v>
      </c>
      <c r="B11" s="9" t="s">
        <v>238</v>
      </c>
      <c r="C11" s="9" t="s">
        <v>124</v>
      </c>
      <c r="D11" s="9" t="s">
        <v>254</v>
      </c>
      <c r="E11" s="9">
        <v>1.0</v>
      </c>
      <c r="F11" s="9" t="s">
        <v>255</v>
      </c>
      <c r="G11" s="9" t="s">
        <v>256</v>
      </c>
      <c r="H11" s="9" t="s">
        <v>147</v>
      </c>
      <c r="I11" s="9" t="s">
        <v>257</v>
      </c>
      <c r="J11" s="9" t="s">
        <v>258</v>
      </c>
      <c r="K11" s="9" t="s">
        <v>150</v>
      </c>
      <c r="L11" s="12">
        <v>3.0</v>
      </c>
      <c r="M11" s="12"/>
      <c r="N11" s="9" t="s">
        <v>125</v>
      </c>
      <c r="O11" s="9" t="s">
        <v>126</v>
      </c>
      <c r="P11" s="18" t="s">
        <v>259</v>
      </c>
      <c r="Q11" s="19"/>
    </row>
    <row r="12" ht="31.5" customHeight="1">
      <c r="A12" s="9" t="s">
        <v>128</v>
      </c>
      <c r="B12" s="9" t="s">
        <v>238</v>
      </c>
      <c r="C12" s="9" t="s">
        <v>130</v>
      </c>
      <c r="D12" s="9" t="s">
        <v>260</v>
      </c>
      <c r="E12" s="9">
        <v>1.0</v>
      </c>
      <c r="F12" s="9" t="s">
        <v>261</v>
      </c>
      <c r="G12" s="9" t="s">
        <v>262</v>
      </c>
      <c r="H12" s="9" t="s">
        <v>147</v>
      </c>
      <c r="I12" s="9" t="s">
        <v>263</v>
      </c>
      <c r="J12" s="9" t="s">
        <v>264</v>
      </c>
      <c r="K12" s="9" t="s">
        <v>80</v>
      </c>
      <c r="L12" s="12">
        <v>8.0</v>
      </c>
      <c r="M12" s="12"/>
      <c r="N12" s="9" t="s">
        <v>135</v>
      </c>
      <c r="O12" s="9" t="s">
        <v>136</v>
      </c>
      <c r="P12" s="13"/>
      <c r="Q12" s="13"/>
    </row>
    <row r="13" ht="31.5" customHeight="1">
      <c r="A13" s="9" t="s">
        <v>138</v>
      </c>
      <c r="B13" s="9" t="s">
        <v>238</v>
      </c>
      <c r="C13" s="9" t="s">
        <v>139</v>
      </c>
      <c r="D13" s="9" t="s">
        <v>265</v>
      </c>
      <c r="E13" s="9">
        <v>1.0</v>
      </c>
      <c r="F13" s="9" t="s">
        <v>266</v>
      </c>
      <c r="G13" s="9" t="s">
        <v>256</v>
      </c>
      <c r="H13" s="9" t="s">
        <v>147</v>
      </c>
      <c r="I13" s="9" t="s">
        <v>267</v>
      </c>
      <c r="J13" s="9" t="s">
        <v>268</v>
      </c>
      <c r="K13" s="9" t="s">
        <v>150</v>
      </c>
      <c r="L13" s="12">
        <v>2.0</v>
      </c>
      <c r="M13" s="12"/>
      <c r="N13" s="9" t="s">
        <v>140</v>
      </c>
      <c r="O13" s="9" t="s">
        <v>141</v>
      </c>
      <c r="P13" s="18" t="s">
        <v>269</v>
      </c>
      <c r="Q13" s="19"/>
    </row>
    <row r="14" ht="31.5" customHeight="1">
      <c r="A14" s="9" t="s">
        <v>143</v>
      </c>
      <c r="B14" s="9" t="s">
        <v>238</v>
      </c>
      <c r="C14" s="9" t="s">
        <v>146</v>
      </c>
      <c r="D14" s="9" t="s">
        <v>270</v>
      </c>
      <c r="E14" s="9">
        <v>1.0</v>
      </c>
      <c r="F14" s="9" t="s">
        <v>271</v>
      </c>
      <c r="G14" s="9" t="s">
        <v>272</v>
      </c>
      <c r="H14" s="9" t="s">
        <v>147</v>
      </c>
      <c r="I14" s="9" t="s">
        <v>273</v>
      </c>
      <c r="J14" s="9" t="s">
        <v>274</v>
      </c>
      <c r="K14" s="9" t="s">
        <v>150</v>
      </c>
      <c r="L14" s="12">
        <v>4.0</v>
      </c>
      <c r="M14" s="12"/>
      <c r="N14" s="9" t="s">
        <v>151</v>
      </c>
      <c r="O14" s="9" t="s">
        <v>152</v>
      </c>
      <c r="P14" s="13"/>
      <c r="Q14" s="13"/>
    </row>
    <row r="15" ht="31.5" customHeight="1">
      <c r="A15" s="9" t="s">
        <v>154</v>
      </c>
      <c r="B15" s="9" t="s">
        <v>275</v>
      </c>
      <c r="C15" s="9" t="s">
        <v>155</v>
      </c>
      <c r="D15" s="9" t="s">
        <v>276</v>
      </c>
      <c r="E15" s="9">
        <v>1.0</v>
      </c>
      <c r="F15" s="9" t="s">
        <v>277</v>
      </c>
      <c r="G15" s="9" t="s">
        <v>278</v>
      </c>
      <c r="H15" s="9" t="s">
        <v>147</v>
      </c>
      <c r="I15" s="9" t="s">
        <v>279</v>
      </c>
      <c r="J15" s="9" t="s">
        <v>134</v>
      </c>
      <c r="K15" s="9" t="s">
        <v>80</v>
      </c>
      <c r="L15" s="12">
        <v>7.0</v>
      </c>
      <c r="M15" s="12"/>
      <c r="N15" s="20" t="s">
        <v>156</v>
      </c>
      <c r="O15" s="9" t="s">
        <v>158</v>
      </c>
      <c r="P15" s="13"/>
      <c r="Q15" s="13"/>
    </row>
    <row r="16" ht="31.5" customHeight="1">
      <c r="A16" s="9" t="s">
        <v>159</v>
      </c>
      <c r="B16" s="9" t="s">
        <v>275</v>
      </c>
      <c r="C16" s="9" t="s">
        <v>160</v>
      </c>
      <c r="D16" s="9" t="s">
        <v>276</v>
      </c>
      <c r="E16" s="9">
        <v>1.0</v>
      </c>
      <c r="F16" s="9" t="s">
        <v>277</v>
      </c>
      <c r="G16" s="9" t="s">
        <v>278</v>
      </c>
      <c r="H16" s="9" t="s">
        <v>147</v>
      </c>
      <c r="I16" s="9" t="s">
        <v>279</v>
      </c>
      <c r="J16" s="9" t="s">
        <v>134</v>
      </c>
      <c r="K16" s="9" t="s">
        <v>80</v>
      </c>
      <c r="L16" s="12">
        <v>7.0</v>
      </c>
      <c r="M16" s="12"/>
      <c r="N16" s="9" t="s">
        <v>156</v>
      </c>
      <c r="O16" s="9" t="s">
        <v>161</v>
      </c>
      <c r="P16" s="13"/>
      <c r="Q16" s="13"/>
    </row>
    <row r="17" ht="31.5" customHeight="1">
      <c r="A17" s="9" t="s">
        <v>162</v>
      </c>
      <c r="B17" s="9" t="s">
        <v>238</v>
      </c>
      <c r="C17" s="9" t="s">
        <v>163</v>
      </c>
      <c r="D17" s="9" t="s">
        <v>280</v>
      </c>
      <c r="E17" s="9">
        <v>2.0</v>
      </c>
      <c r="F17" s="9" t="s">
        <v>281</v>
      </c>
      <c r="G17" s="9" t="s">
        <v>282</v>
      </c>
      <c r="H17" s="9" t="s">
        <v>147</v>
      </c>
      <c r="I17" s="9" t="s">
        <v>283</v>
      </c>
      <c r="J17" s="9" t="s">
        <v>284</v>
      </c>
      <c r="K17" s="9" t="s">
        <v>150</v>
      </c>
      <c r="L17" s="12">
        <v>1.0</v>
      </c>
      <c r="M17" s="12"/>
      <c r="N17" s="9" t="s">
        <v>165</v>
      </c>
      <c r="O17" s="9" t="s">
        <v>168</v>
      </c>
      <c r="P17" s="13"/>
      <c r="Q17" s="13"/>
    </row>
    <row r="18" ht="31.5" customHeight="1">
      <c r="A18" s="9" t="s">
        <v>171</v>
      </c>
      <c r="B18" s="9" t="s">
        <v>285</v>
      </c>
      <c r="C18" s="9" t="s">
        <v>172</v>
      </c>
      <c r="D18" s="9" t="s">
        <v>286</v>
      </c>
      <c r="E18" s="9">
        <v>1.0</v>
      </c>
      <c r="F18" s="9" t="s">
        <v>287</v>
      </c>
      <c r="G18" s="9" t="s">
        <v>288</v>
      </c>
      <c r="H18" s="9" t="s">
        <v>289</v>
      </c>
      <c r="I18" s="9" t="s">
        <v>290</v>
      </c>
      <c r="J18" s="9" t="s">
        <v>291</v>
      </c>
      <c r="K18" s="9" t="s">
        <v>150</v>
      </c>
      <c r="L18" s="12">
        <v>5.0</v>
      </c>
      <c r="M18" s="12"/>
      <c r="N18" s="9" t="s">
        <v>173</v>
      </c>
      <c r="O18" s="9" t="s">
        <v>175</v>
      </c>
      <c r="P18" s="13"/>
      <c r="Q18" s="13"/>
    </row>
    <row r="19" ht="31.5" customHeight="1">
      <c r="A19" s="9" t="s">
        <v>176</v>
      </c>
      <c r="B19" s="9" t="s">
        <v>292</v>
      </c>
      <c r="C19" s="9" t="s">
        <v>177</v>
      </c>
      <c r="D19" s="9" t="s">
        <v>293</v>
      </c>
      <c r="E19" s="9">
        <v>1.0</v>
      </c>
      <c r="F19" s="9" t="s">
        <v>294</v>
      </c>
      <c r="G19" s="9" t="s">
        <v>295</v>
      </c>
      <c r="H19" s="9" t="s">
        <v>296</v>
      </c>
      <c r="I19" s="9" t="s">
        <v>297</v>
      </c>
      <c r="J19" s="9" t="s">
        <v>274</v>
      </c>
      <c r="K19" s="9" t="s">
        <v>150</v>
      </c>
      <c r="L19" s="21">
        <v>10.0</v>
      </c>
      <c r="M19" s="12"/>
      <c r="N19" s="22" t="s">
        <v>298</v>
      </c>
      <c r="O19" s="9" t="s">
        <v>179</v>
      </c>
      <c r="P19" s="13"/>
      <c r="Q19" s="13"/>
    </row>
    <row r="20" ht="31.5" customHeight="1">
      <c r="A20" s="9" t="s">
        <v>180</v>
      </c>
      <c r="B20" s="9" t="s">
        <v>292</v>
      </c>
      <c r="C20" s="9" t="s">
        <v>181</v>
      </c>
      <c r="D20" s="9" t="s">
        <v>299</v>
      </c>
      <c r="E20" s="9">
        <v>5.0</v>
      </c>
      <c r="F20" s="9" t="s">
        <v>300</v>
      </c>
      <c r="G20" s="9" t="s">
        <v>301</v>
      </c>
      <c r="H20" s="9" t="s">
        <v>147</v>
      </c>
      <c r="I20" s="9" t="s">
        <v>302</v>
      </c>
      <c r="J20" s="9" t="s">
        <v>284</v>
      </c>
      <c r="K20" s="9" t="s">
        <v>150</v>
      </c>
      <c r="L20" s="12">
        <v>2.0</v>
      </c>
      <c r="M20" s="12"/>
      <c r="N20" s="9" t="s">
        <v>183</v>
      </c>
      <c r="O20" s="9" t="s">
        <v>184</v>
      </c>
      <c r="P20" s="13"/>
      <c r="Q20" s="13"/>
    </row>
    <row r="21" ht="31.5" customHeight="1">
      <c r="A21" s="9" t="s">
        <v>187</v>
      </c>
      <c r="B21" s="9" t="s">
        <v>303</v>
      </c>
      <c r="C21" s="9" t="s">
        <v>189</v>
      </c>
      <c r="D21" s="9" t="s">
        <v>304</v>
      </c>
      <c r="E21" s="9">
        <v>1.0</v>
      </c>
      <c r="F21" s="9" t="s">
        <v>88</v>
      </c>
      <c r="G21" s="9" t="s">
        <v>304</v>
      </c>
      <c r="H21" s="9" t="s">
        <v>147</v>
      </c>
      <c r="I21" s="9" t="s">
        <v>305</v>
      </c>
      <c r="J21" s="9" t="s">
        <v>147</v>
      </c>
      <c r="K21" s="9" t="s">
        <v>80</v>
      </c>
      <c r="L21" s="12">
        <v>3.0</v>
      </c>
      <c r="M21" s="12"/>
      <c r="N21" s="9" t="s">
        <v>190</v>
      </c>
      <c r="O21" s="9" t="s">
        <v>192</v>
      </c>
      <c r="P21" s="13"/>
      <c r="Q21" s="13"/>
    </row>
    <row r="22" ht="31.5" customHeight="1">
      <c r="A22" s="9" t="s">
        <v>193</v>
      </c>
      <c r="B22" s="9" t="s">
        <v>306</v>
      </c>
      <c r="C22" s="9" t="s">
        <v>194</v>
      </c>
      <c r="D22" s="9" t="s">
        <v>307</v>
      </c>
      <c r="E22" s="9">
        <v>1.0</v>
      </c>
      <c r="F22" s="9" t="s">
        <v>147</v>
      </c>
      <c r="G22" s="9" t="s">
        <v>308</v>
      </c>
      <c r="H22" s="9" t="s">
        <v>147</v>
      </c>
      <c r="I22" s="9" t="s">
        <v>309</v>
      </c>
      <c r="J22" s="9" t="s">
        <v>310</v>
      </c>
      <c r="K22" s="9" t="s">
        <v>80</v>
      </c>
      <c r="L22" s="12">
        <v>2.0</v>
      </c>
      <c r="M22" s="12"/>
      <c r="N22" s="9" t="s">
        <v>196</v>
      </c>
      <c r="O22" s="9" t="s">
        <v>197</v>
      </c>
      <c r="P22" s="13"/>
      <c r="Q22" s="13"/>
    </row>
    <row r="23" ht="31.5" customHeight="1">
      <c r="A23" s="9" t="s">
        <v>198</v>
      </c>
      <c r="B23" s="9" t="s">
        <v>311</v>
      </c>
      <c r="C23" s="9" t="s">
        <v>199</v>
      </c>
      <c r="D23" s="9" t="s">
        <v>312</v>
      </c>
      <c r="E23" s="9">
        <v>1.0</v>
      </c>
      <c r="F23" s="9" t="s">
        <v>313</v>
      </c>
      <c r="G23" s="9" t="s">
        <v>314</v>
      </c>
      <c r="H23" s="9" t="s">
        <v>147</v>
      </c>
      <c r="I23" s="9" t="s">
        <v>315</v>
      </c>
      <c r="J23" s="9" t="s">
        <v>147</v>
      </c>
      <c r="K23" s="9" t="s">
        <v>80</v>
      </c>
      <c r="L23" s="12">
        <v>10.0</v>
      </c>
      <c r="M23" s="12"/>
      <c r="N23" s="9" t="s">
        <v>201</v>
      </c>
      <c r="O23" s="9" t="s">
        <v>202</v>
      </c>
      <c r="P23" s="13"/>
      <c r="Q23" s="13"/>
    </row>
    <row r="24" ht="31.5" customHeight="1">
      <c r="A24" s="9" t="s">
        <v>203</v>
      </c>
      <c r="B24" s="9" t="s">
        <v>311</v>
      </c>
      <c r="C24" s="9" t="s">
        <v>204</v>
      </c>
      <c r="D24" s="9" t="s">
        <v>316</v>
      </c>
      <c r="E24" s="9">
        <v>1.0</v>
      </c>
      <c r="F24" s="9" t="s">
        <v>313</v>
      </c>
      <c r="G24" s="9" t="s">
        <v>317</v>
      </c>
      <c r="H24" s="9" t="s">
        <v>147</v>
      </c>
      <c r="I24" s="9" t="s">
        <v>318</v>
      </c>
      <c r="J24" s="9" t="s">
        <v>147</v>
      </c>
      <c r="K24" s="9" t="s">
        <v>150</v>
      </c>
      <c r="L24" s="12">
        <v>8.0</v>
      </c>
      <c r="M24" s="12"/>
      <c r="N24" s="9" t="s">
        <v>205</v>
      </c>
      <c r="O24" s="9" t="s">
        <v>206</v>
      </c>
      <c r="P24" s="13"/>
      <c r="Q24" s="13"/>
    </row>
    <row r="25" ht="31.5" customHeight="1">
      <c r="A25" s="9" t="s">
        <v>208</v>
      </c>
      <c r="B25" s="9" t="s">
        <v>319</v>
      </c>
      <c r="C25" s="9" t="s">
        <v>210</v>
      </c>
      <c r="D25" s="9" t="s">
        <v>320</v>
      </c>
      <c r="E25" s="9">
        <v>2.0</v>
      </c>
      <c r="F25" s="9" t="s">
        <v>147</v>
      </c>
      <c r="G25" s="9" t="s">
        <v>147</v>
      </c>
      <c r="H25" s="9" t="s">
        <v>147</v>
      </c>
      <c r="I25" s="9" t="s">
        <v>321</v>
      </c>
      <c r="J25" s="9" t="s">
        <v>147</v>
      </c>
      <c r="K25" s="9" t="s">
        <v>80</v>
      </c>
      <c r="L25" s="12">
        <v>4.0</v>
      </c>
      <c r="M25" s="12"/>
      <c r="N25" s="9" t="s">
        <v>211</v>
      </c>
      <c r="O25" s="9" t="s">
        <v>212</v>
      </c>
      <c r="P25" s="13"/>
      <c r="Q25" s="13"/>
    </row>
    <row r="26" ht="31.5" customHeight="1">
      <c r="A26" s="9" t="s">
        <v>213</v>
      </c>
      <c r="B26" s="9" t="s">
        <v>319</v>
      </c>
      <c r="C26" s="9" t="s">
        <v>214</v>
      </c>
      <c r="D26" s="9" t="s">
        <v>322</v>
      </c>
      <c r="E26" s="9">
        <v>1.0</v>
      </c>
      <c r="F26" s="9" t="s">
        <v>147</v>
      </c>
      <c r="G26" s="9" t="s">
        <v>147</v>
      </c>
      <c r="H26" s="9" t="s">
        <v>147</v>
      </c>
      <c r="I26" s="9" t="s">
        <v>323</v>
      </c>
      <c r="J26" s="9" t="s">
        <v>147</v>
      </c>
      <c r="K26" s="9" t="s">
        <v>80</v>
      </c>
      <c r="L26" s="12">
        <v>8.0</v>
      </c>
      <c r="M26" s="12"/>
      <c r="N26" s="9" t="s">
        <v>218</v>
      </c>
      <c r="O26" s="9" t="s">
        <v>219</v>
      </c>
      <c r="P26" s="13"/>
      <c r="Q26" s="13"/>
    </row>
    <row r="27" ht="31.5" customHeight="1">
      <c r="A27" s="9" t="s">
        <v>220</v>
      </c>
      <c r="B27" s="9" t="s">
        <v>319</v>
      </c>
      <c r="C27" s="9" t="s">
        <v>221</v>
      </c>
      <c r="D27" s="9" t="s">
        <v>324</v>
      </c>
      <c r="E27" s="9">
        <v>1.0</v>
      </c>
      <c r="F27" s="9" t="s">
        <v>147</v>
      </c>
      <c r="G27" s="9" t="s">
        <v>147</v>
      </c>
      <c r="H27" s="9" t="s">
        <v>147</v>
      </c>
      <c r="I27" s="9" t="s">
        <v>325</v>
      </c>
      <c r="J27" s="9" t="s">
        <v>147</v>
      </c>
      <c r="K27" s="9" t="s">
        <v>80</v>
      </c>
      <c r="L27" s="12">
        <v>4.0</v>
      </c>
      <c r="M27" s="12"/>
      <c r="N27" s="9" t="s">
        <v>222</v>
      </c>
      <c r="O27" s="9" t="s">
        <v>223</v>
      </c>
      <c r="P27" s="13"/>
      <c r="Q27" s="13"/>
    </row>
    <row r="28" ht="31.5" customHeight="1">
      <c r="A28" s="9" t="s">
        <v>224</v>
      </c>
      <c r="B28" s="9" t="s">
        <v>319</v>
      </c>
      <c r="C28" s="9" t="s">
        <v>225</v>
      </c>
      <c r="D28" s="9" t="s">
        <v>326</v>
      </c>
      <c r="E28" s="9">
        <v>1.0</v>
      </c>
      <c r="F28" s="9" t="s">
        <v>147</v>
      </c>
      <c r="G28" s="9" t="s">
        <v>147</v>
      </c>
      <c r="H28" s="9" t="s">
        <v>147</v>
      </c>
      <c r="I28" s="9" t="s">
        <v>327</v>
      </c>
      <c r="J28" s="9" t="s">
        <v>147</v>
      </c>
      <c r="K28" s="9" t="s">
        <v>80</v>
      </c>
      <c r="L28" s="12">
        <v>15.0</v>
      </c>
      <c r="M28" s="12"/>
      <c r="N28" s="9" t="s">
        <v>226</v>
      </c>
      <c r="O28" s="9" t="s">
        <v>228</v>
      </c>
      <c r="P28" s="13"/>
      <c r="Q28" s="13"/>
    </row>
    <row r="29" ht="31.5" customHeight="1">
      <c r="A29" s="9" t="s">
        <v>229</v>
      </c>
      <c r="B29" s="9" t="s">
        <v>328</v>
      </c>
      <c r="C29" s="9" t="s">
        <v>230</v>
      </c>
      <c r="D29" s="9" t="s">
        <v>329</v>
      </c>
      <c r="E29" s="9">
        <v>1.0</v>
      </c>
      <c r="F29" s="9" t="s">
        <v>147</v>
      </c>
      <c r="G29" s="9" t="s">
        <v>147</v>
      </c>
      <c r="H29" s="9" t="s">
        <v>147</v>
      </c>
      <c r="I29" s="9" t="s">
        <v>330</v>
      </c>
      <c r="J29" s="9" t="s">
        <v>147</v>
      </c>
      <c r="K29" s="9" t="s">
        <v>80</v>
      </c>
      <c r="L29" s="12">
        <v>15.0</v>
      </c>
      <c r="M29" s="12"/>
      <c r="N29" s="9" t="s">
        <v>231</v>
      </c>
      <c r="O29" s="9" t="s">
        <v>232</v>
      </c>
      <c r="P29" s="13"/>
      <c r="Q29" s="13"/>
    </row>
    <row r="30" ht="31.5" customHeight="1">
      <c r="A30" s="9" t="s">
        <v>233</v>
      </c>
      <c r="B30" s="9" t="s">
        <v>110</v>
      </c>
      <c r="C30" s="9" t="s">
        <v>234</v>
      </c>
      <c r="D30" s="9" t="s">
        <v>331</v>
      </c>
      <c r="E30" s="9">
        <v>1.0</v>
      </c>
      <c r="F30" s="9" t="s">
        <v>147</v>
      </c>
      <c r="G30" s="9" t="s">
        <v>147</v>
      </c>
      <c r="H30" s="9" t="s">
        <v>147</v>
      </c>
      <c r="I30" s="9" t="s">
        <v>332</v>
      </c>
      <c r="J30" s="9" t="s">
        <v>147</v>
      </c>
      <c r="K30" s="9" t="s">
        <v>80</v>
      </c>
      <c r="L30" s="12">
        <v>12.0</v>
      </c>
      <c r="M30" s="12"/>
      <c r="N30" s="9" t="s">
        <v>235</v>
      </c>
      <c r="O30" s="9" t="s">
        <v>236</v>
      </c>
      <c r="P30" s="13"/>
      <c r="Q30" s="13"/>
    </row>
    <row r="31" ht="31.5" customHeight="1">
      <c r="A31" s="9" t="s">
        <v>237</v>
      </c>
      <c r="B31" s="9" t="s">
        <v>110</v>
      </c>
      <c r="C31" s="9" t="s">
        <v>239</v>
      </c>
      <c r="D31" s="9" t="s">
        <v>333</v>
      </c>
      <c r="E31" s="9">
        <v>1.0</v>
      </c>
      <c r="F31" s="9" t="s">
        <v>147</v>
      </c>
      <c r="G31" s="9" t="s">
        <v>147</v>
      </c>
      <c r="H31" s="9" t="s">
        <v>147</v>
      </c>
      <c r="I31" s="9" t="s">
        <v>334</v>
      </c>
      <c r="J31" s="9" t="s">
        <v>147</v>
      </c>
      <c r="K31" s="9" t="s">
        <v>150</v>
      </c>
      <c r="L31" s="12">
        <v>4.0</v>
      </c>
      <c r="M31" s="12"/>
      <c r="N31" s="9" t="s">
        <v>240</v>
      </c>
      <c r="O31" s="9" t="s">
        <v>241</v>
      </c>
      <c r="P31" s="13"/>
      <c r="Q31" s="13"/>
    </row>
    <row r="32" ht="31.5" customHeight="1">
      <c r="A32" s="9" t="s">
        <v>242</v>
      </c>
      <c r="B32" s="9" t="s">
        <v>85</v>
      </c>
      <c r="C32" s="9" t="s">
        <v>243</v>
      </c>
      <c r="D32" s="9" t="s">
        <v>335</v>
      </c>
      <c r="E32" s="9">
        <v>2.0</v>
      </c>
      <c r="F32" s="9" t="s">
        <v>147</v>
      </c>
      <c r="G32" s="9" t="s">
        <v>147</v>
      </c>
      <c r="H32" s="9" t="s">
        <v>147</v>
      </c>
      <c r="I32" s="9" t="s">
        <v>336</v>
      </c>
      <c r="J32" s="9" t="s">
        <v>147</v>
      </c>
      <c r="K32" s="9" t="s">
        <v>150</v>
      </c>
      <c r="L32" s="12">
        <v>3.0</v>
      </c>
      <c r="M32" s="12"/>
      <c r="N32" s="9" t="s">
        <v>244</v>
      </c>
      <c r="O32" s="9" t="s">
        <v>245</v>
      </c>
      <c r="P32" s="13"/>
      <c r="Q32" s="13"/>
    </row>
    <row r="33" ht="31.5" customHeight="1">
      <c r="A33" s="9" t="s">
        <v>246</v>
      </c>
      <c r="B33" s="9" t="s">
        <v>337</v>
      </c>
      <c r="C33" s="9" t="s">
        <v>247</v>
      </c>
      <c r="D33" s="9" t="s">
        <v>338</v>
      </c>
      <c r="E33" s="9">
        <v>1.0</v>
      </c>
      <c r="F33" s="9" t="s">
        <v>147</v>
      </c>
      <c r="G33" s="9" t="s">
        <v>147</v>
      </c>
      <c r="H33" s="9" t="s">
        <v>147</v>
      </c>
      <c r="I33" s="9" t="s">
        <v>339</v>
      </c>
      <c r="J33" s="9" t="s">
        <v>340</v>
      </c>
      <c r="K33" s="9" t="s">
        <v>150</v>
      </c>
      <c r="L33" s="12">
        <v>5.0</v>
      </c>
      <c r="M33" s="12"/>
      <c r="N33" s="9" t="s">
        <v>248</v>
      </c>
      <c r="O33" s="9" t="s">
        <v>249</v>
      </c>
      <c r="P33" s="13"/>
      <c r="Q33" s="1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K2:K33">
    <cfRule type="expression" dxfId="5" priority="1">
      <formula>K2="APROBADO"</formula>
    </cfRule>
  </conditionalFormatting>
  <conditionalFormatting sqref="K2:K33">
    <cfRule type="expression" dxfId="6" priority="2">
      <formula>K2="REVISAR"</formula>
    </cfRule>
  </conditionalFormatting>
  <conditionalFormatting sqref="K2:K33">
    <cfRule type="expression" dxfId="7" priority="3">
      <formula>K2="PENDIENTE"</formula>
    </cfRule>
  </conditionalFormatting>
  <conditionalFormatting sqref="K2:K33">
    <cfRule type="expression" dxfId="8" priority="4">
      <formula>K2="DESCARTADO"</formula>
    </cfRule>
  </conditionalFormatting>
  <hyperlinks>
    <hyperlink r:id="rId1" ref="P3"/>
    <hyperlink r:id="rId2" ref="Q3"/>
    <hyperlink r:id="rId3" ref="Q4"/>
    <hyperlink r:id="rId4" ref="P5"/>
    <hyperlink r:id="rId5" ref="P6"/>
    <hyperlink r:id="rId6" ref="Q6"/>
    <hyperlink r:id="rId7" ref="P7"/>
    <hyperlink r:id="rId8" ref="P8"/>
    <hyperlink r:id="rId9" ref="Q8"/>
    <hyperlink r:id="rId10" ref="S8"/>
    <hyperlink r:id="rId11" ref="P9"/>
    <hyperlink r:id="rId12" ref="P10"/>
    <hyperlink r:id="rId13" ref="P11"/>
    <hyperlink r:id="rId14" ref="P13"/>
    <hyperlink r:id="rId15" ref="N15"/>
    <hyperlink r:id="rId16" ref="N19"/>
  </hyperlinks>
  <printOptions/>
  <pageMargins bottom="0.75" footer="0.0" header="0.0" left="0.7" right="0.7" top="0.75"/>
  <pageSetup orientation="landscape"/>
  <drawing r:id="rId17"/>
  <tableParts count="1">
    <tablePart r:id="rId1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70.0"/>
    <col customWidth="1" min="3" max="8" width="12.0"/>
    <col customWidth="1" min="9" max="26" width="8.63"/>
  </cols>
  <sheetData>
    <row r="1" ht="24.0" customHeight="1">
      <c r="A1" s="1" t="s">
        <v>0</v>
      </c>
    </row>
    <row r="2" ht="24.0" customHeight="1"/>
    <row r="3" ht="24.0" customHeight="1">
      <c r="A3" s="2" t="s">
        <v>1</v>
      </c>
      <c r="B3" s="2" t="s">
        <v>3</v>
      </c>
    </row>
    <row r="4" ht="24.0" customHeight="1">
      <c r="A4" s="2" t="s">
        <v>4</v>
      </c>
      <c r="B4" s="2" t="s">
        <v>5</v>
      </c>
    </row>
    <row r="5" ht="24.0" customHeight="1">
      <c r="A5" s="2" t="s">
        <v>6</v>
      </c>
      <c r="B5" s="2" t="s">
        <v>7</v>
      </c>
    </row>
    <row r="6" ht="24.0" customHeight="1">
      <c r="A6" s="2" t="s">
        <v>8</v>
      </c>
      <c r="B6" s="2">
        <v>32.0</v>
      </c>
    </row>
    <row r="7" ht="24.0" customHeight="1">
      <c r="A7" s="2" t="s">
        <v>9</v>
      </c>
      <c r="B7" s="2">
        <f>COUNTIF(BOM_AliExpress!K2:K33,"APROBADO")</f>
        <v>14</v>
      </c>
    </row>
    <row r="8" ht="24.0" customHeight="1">
      <c r="A8" s="2" t="s">
        <v>28</v>
      </c>
      <c r="B8" s="2">
        <f>COUNTIF(BOM_AliExpress!K2:K33,"REVISAR")</f>
        <v>18</v>
      </c>
    </row>
    <row r="9" ht="24.0" customHeight="1">
      <c r="A9" s="2" t="s">
        <v>34</v>
      </c>
      <c r="B9" s="2">
        <f>COUNTIF(BOM_AliExpress!K2:K33,"PENDIENTE")+COUNTIF(BOM_AliExpress!K2:K33,"DESCARTADO")</f>
        <v>0</v>
      </c>
    </row>
    <row r="10" ht="24.0" customHeight="1">
      <c r="A10" s="2" t="s">
        <v>42</v>
      </c>
      <c r="B10" s="8">
        <f>SUM(BOM_AliExpress!L2:L33)</f>
        <v>218</v>
      </c>
    </row>
    <row r="11" ht="24.0" customHeight="1"/>
    <row r="12" ht="24.0" customHeight="1">
      <c r="A12" s="5" t="s">
        <v>48</v>
      </c>
    </row>
    <row r="13" ht="24.0" customHeight="1">
      <c r="A13" s="4" t="s">
        <v>51</v>
      </c>
      <c r="B13" s="4" t="s">
        <v>53</v>
      </c>
    </row>
    <row r="14" ht="24.0" customHeight="1">
      <c r="A14" s="4" t="s">
        <v>55</v>
      </c>
      <c r="B14" s="4" t="s">
        <v>56</v>
      </c>
    </row>
    <row r="15" ht="24.0" customHeight="1">
      <c r="A15" s="4" t="s">
        <v>59</v>
      </c>
      <c r="B15" s="4" t="s">
        <v>60</v>
      </c>
    </row>
    <row r="16" ht="24.0" customHeight="1">
      <c r="A16" s="4" t="s">
        <v>61</v>
      </c>
      <c r="B16" s="4" t="s">
        <v>62</v>
      </c>
    </row>
    <row r="17" ht="24.0" customHeight="1">
      <c r="A17" s="4" t="s">
        <v>64</v>
      </c>
      <c r="B17" s="4" t="s">
        <v>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H1"/>
    <mergeCell ref="A12:H12"/>
    <mergeCell ref="B13:H13"/>
    <mergeCell ref="B14:H14"/>
    <mergeCell ref="B15:H15"/>
    <mergeCell ref="B16:H16"/>
    <mergeCell ref="B17:H1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2" width="75.0"/>
    <col customWidth="1" min="3" max="8" width="15.0"/>
    <col customWidth="1" min="9" max="26" width="8.63"/>
  </cols>
  <sheetData>
    <row r="1">
      <c r="A1" s="3" t="s">
        <v>2</v>
      </c>
    </row>
    <row r="3">
      <c r="A3" s="4" t="s">
        <v>10</v>
      </c>
      <c r="B3" s="4" t="s">
        <v>11</v>
      </c>
    </row>
    <row r="4">
      <c r="A4" s="4" t="s">
        <v>12</v>
      </c>
      <c r="B4" s="4" t="s">
        <v>13</v>
      </c>
    </row>
    <row r="5">
      <c r="A5" s="4" t="s">
        <v>14</v>
      </c>
      <c r="B5" s="4" t="s">
        <v>15</v>
      </c>
    </row>
    <row r="6">
      <c r="A6" s="4" t="s">
        <v>16</v>
      </c>
      <c r="B6" s="4" t="s">
        <v>17</v>
      </c>
    </row>
    <row r="7">
      <c r="A7" s="4" t="s">
        <v>18</v>
      </c>
      <c r="B7" s="4" t="s">
        <v>17</v>
      </c>
    </row>
    <row r="8">
      <c r="A8" s="4" t="s">
        <v>19</v>
      </c>
      <c r="B8" s="4" t="s">
        <v>17</v>
      </c>
    </row>
    <row r="9">
      <c r="A9" s="4" t="s">
        <v>20</v>
      </c>
      <c r="B9" s="4" t="s">
        <v>17</v>
      </c>
    </row>
    <row r="10">
      <c r="A10" s="4" t="s">
        <v>21</v>
      </c>
      <c r="B10" s="4" t="s">
        <v>17</v>
      </c>
    </row>
    <row r="11">
      <c r="A11" s="4" t="s">
        <v>22</v>
      </c>
      <c r="B11" s="4" t="s">
        <v>23</v>
      </c>
    </row>
    <row r="12">
      <c r="A12" s="4" t="s">
        <v>24</v>
      </c>
      <c r="B12" s="4" t="s">
        <v>25</v>
      </c>
    </row>
    <row r="14">
      <c r="A14" s="5" t="s">
        <v>26</v>
      </c>
    </row>
    <row r="15">
      <c r="A15" s="4" t="s">
        <v>29</v>
      </c>
      <c r="B15" s="4"/>
    </row>
    <row r="16">
      <c r="A16" s="4" t="s">
        <v>30</v>
      </c>
      <c r="B16" s="4"/>
    </row>
    <row r="17">
      <c r="A17" s="4" t="s">
        <v>31</v>
      </c>
      <c r="B17" s="4"/>
    </row>
    <row r="18">
      <c r="A18" s="4" t="s">
        <v>32</v>
      </c>
      <c r="B18" s="4"/>
    </row>
    <row r="19">
      <c r="A19" s="4" t="s">
        <v>33</v>
      </c>
      <c r="B19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H1"/>
    <mergeCell ref="A14:H14"/>
    <mergeCell ref="B15:H15"/>
    <mergeCell ref="B16:H16"/>
    <mergeCell ref="B17:H17"/>
    <mergeCell ref="B18:H18"/>
    <mergeCell ref="B19:H1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0"/>
    <col customWidth="1" min="2" max="2" width="35.0"/>
    <col customWidth="1" min="3" max="3" width="24.0"/>
    <col customWidth="1" min="4" max="4" width="70.0"/>
    <col customWidth="1" min="5" max="5" width="65.0"/>
    <col customWidth="1" min="6" max="26" width="8.63"/>
  </cols>
  <sheetData>
    <row r="1">
      <c r="A1" s="7" t="s">
        <v>27</v>
      </c>
      <c r="B1" s="7" t="s">
        <v>36</v>
      </c>
      <c r="C1" s="7" t="s">
        <v>40</v>
      </c>
      <c r="D1" s="7" t="s">
        <v>12</v>
      </c>
      <c r="E1" s="7" t="s">
        <v>46</v>
      </c>
    </row>
    <row r="2">
      <c r="A2" s="9" t="s">
        <v>49</v>
      </c>
      <c r="B2" s="9" t="s">
        <v>58</v>
      </c>
      <c r="C2" s="9" t="s">
        <v>65</v>
      </c>
      <c r="D2" s="9" t="s">
        <v>13</v>
      </c>
      <c r="E2" s="9" t="s">
        <v>68</v>
      </c>
    </row>
    <row r="3">
      <c r="A3" s="9" t="s">
        <v>70</v>
      </c>
      <c r="B3" s="9" t="s">
        <v>71</v>
      </c>
      <c r="C3" s="9" t="s">
        <v>72</v>
      </c>
      <c r="D3" s="9" t="s">
        <v>74</v>
      </c>
      <c r="E3" s="9" t="s">
        <v>76</v>
      </c>
    </row>
    <row r="4">
      <c r="A4" s="9" t="s">
        <v>77</v>
      </c>
      <c r="B4" s="9" t="s">
        <v>79</v>
      </c>
      <c r="C4" s="9" t="s">
        <v>72</v>
      </c>
      <c r="D4" s="9" t="s">
        <v>81</v>
      </c>
      <c r="E4" s="9" t="s">
        <v>82</v>
      </c>
    </row>
    <row r="5">
      <c r="A5" s="9" t="s">
        <v>83</v>
      </c>
      <c r="B5" s="9" t="s">
        <v>84</v>
      </c>
      <c r="C5" s="9" t="s">
        <v>72</v>
      </c>
      <c r="D5" s="9" t="s">
        <v>87</v>
      </c>
      <c r="E5" s="9" t="s">
        <v>89</v>
      </c>
    </row>
    <row r="6">
      <c r="A6" s="9" t="s">
        <v>93</v>
      </c>
      <c r="B6" s="9" t="s">
        <v>95</v>
      </c>
      <c r="C6" s="9" t="s">
        <v>72</v>
      </c>
      <c r="D6" s="9" t="s">
        <v>97</v>
      </c>
      <c r="E6" s="9" t="s">
        <v>98</v>
      </c>
    </row>
    <row r="7">
      <c r="A7" s="9" t="s">
        <v>99</v>
      </c>
      <c r="B7" s="9" t="s">
        <v>100</v>
      </c>
      <c r="C7" s="9" t="s">
        <v>72</v>
      </c>
      <c r="D7" s="9" t="s">
        <v>101</v>
      </c>
      <c r="E7" s="9" t="s">
        <v>102</v>
      </c>
    </row>
    <row r="8">
      <c r="A8" s="9" t="s">
        <v>104</v>
      </c>
      <c r="B8" s="9" t="s">
        <v>105</v>
      </c>
      <c r="C8" s="9" t="s">
        <v>72</v>
      </c>
      <c r="D8" s="9" t="s">
        <v>106</v>
      </c>
      <c r="E8" s="9" t="s">
        <v>107</v>
      </c>
    </row>
    <row r="9">
      <c r="A9" s="9" t="s">
        <v>108</v>
      </c>
      <c r="B9" s="9" t="s">
        <v>109</v>
      </c>
      <c r="C9" s="9" t="s">
        <v>72</v>
      </c>
      <c r="D9" s="9" t="s">
        <v>112</v>
      </c>
      <c r="E9" s="9" t="s">
        <v>113</v>
      </c>
    </row>
    <row r="10">
      <c r="A10" s="9" t="s">
        <v>117</v>
      </c>
      <c r="B10" s="9" t="s">
        <v>119</v>
      </c>
      <c r="C10" s="9" t="s">
        <v>72</v>
      </c>
      <c r="D10" s="9" t="s">
        <v>120</v>
      </c>
      <c r="E10" s="9" t="s">
        <v>122</v>
      </c>
    </row>
    <row r="11">
      <c r="A11" s="9" t="s">
        <v>123</v>
      </c>
      <c r="B11" s="9" t="s">
        <v>124</v>
      </c>
      <c r="C11" s="9" t="s">
        <v>72</v>
      </c>
      <c r="D11" s="9" t="s">
        <v>125</v>
      </c>
      <c r="E11" s="9" t="s">
        <v>126</v>
      </c>
    </row>
    <row r="12">
      <c r="A12" s="9" t="s">
        <v>128</v>
      </c>
      <c r="B12" s="9" t="s">
        <v>130</v>
      </c>
      <c r="C12" s="9" t="s">
        <v>72</v>
      </c>
      <c r="D12" s="9" t="s">
        <v>135</v>
      </c>
      <c r="E12" s="9" t="s">
        <v>136</v>
      </c>
    </row>
    <row r="13">
      <c r="A13" s="9" t="s">
        <v>138</v>
      </c>
      <c r="B13" s="9" t="s">
        <v>139</v>
      </c>
      <c r="C13" s="9" t="s">
        <v>72</v>
      </c>
      <c r="D13" s="9" t="s">
        <v>140</v>
      </c>
      <c r="E13" s="9" t="s">
        <v>141</v>
      </c>
    </row>
    <row r="14">
      <c r="A14" s="9" t="s">
        <v>143</v>
      </c>
      <c r="B14" s="9" t="s">
        <v>146</v>
      </c>
      <c r="C14" s="9" t="s">
        <v>72</v>
      </c>
      <c r="D14" s="9" t="s">
        <v>151</v>
      </c>
      <c r="E14" s="9" t="s">
        <v>152</v>
      </c>
    </row>
    <row r="15">
      <c r="A15" s="9" t="s">
        <v>154</v>
      </c>
      <c r="B15" s="9" t="s">
        <v>155</v>
      </c>
      <c r="C15" s="9" t="s">
        <v>72</v>
      </c>
      <c r="D15" s="9" t="s">
        <v>156</v>
      </c>
      <c r="E15" s="9" t="s">
        <v>158</v>
      </c>
    </row>
    <row r="16">
      <c r="A16" s="9" t="s">
        <v>159</v>
      </c>
      <c r="B16" s="9" t="s">
        <v>160</v>
      </c>
      <c r="C16" s="9" t="s">
        <v>72</v>
      </c>
      <c r="D16" s="9" t="s">
        <v>156</v>
      </c>
      <c r="E16" s="9" t="s">
        <v>161</v>
      </c>
    </row>
    <row r="17">
      <c r="A17" s="9" t="s">
        <v>162</v>
      </c>
      <c r="B17" s="9" t="s">
        <v>163</v>
      </c>
      <c r="C17" s="9" t="s">
        <v>72</v>
      </c>
      <c r="D17" s="9" t="s">
        <v>165</v>
      </c>
      <c r="E17" s="9" t="s">
        <v>168</v>
      </c>
    </row>
    <row r="18">
      <c r="A18" s="9" t="s">
        <v>171</v>
      </c>
      <c r="B18" s="9" t="s">
        <v>172</v>
      </c>
      <c r="C18" s="9" t="s">
        <v>72</v>
      </c>
      <c r="D18" s="9" t="s">
        <v>173</v>
      </c>
      <c r="E18" s="9" t="s">
        <v>175</v>
      </c>
    </row>
    <row r="19">
      <c r="A19" s="9" t="s">
        <v>176</v>
      </c>
      <c r="B19" s="9" t="s">
        <v>177</v>
      </c>
      <c r="C19" s="9" t="s">
        <v>72</v>
      </c>
      <c r="D19" s="9" t="s">
        <v>178</v>
      </c>
      <c r="E19" s="9" t="s">
        <v>179</v>
      </c>
    </row>
    <row r="20">
      <c r="A20" s="9" t="s">
        <v>180</v>
      </c>
      <c r="B20" s="9" t="s">
        <v>181</v>
      </c>
      <c r="C20" s="9" t="s">
        <v>72</v>
      </c>
      <c r="D20" s="9" t="s">
        <v>183</v>
      </c>
      <c r="E20" s="9" t="s">
        <v>184</v>
      </c>
    </row>
    <row r="21" ht="15.75" customHeight="1">
      <c r="A21" s="9" t="s">
        <v>187</v>
      </c>
      <c r="B21" s="9" t="s">
        <v>189</v>
      </c>
      <c r="C21" s="9" t="s">
        <v>72</v>
      </c>
      <c r="D21" s="9" t="s">
        <v>190</v>
      </c>
      <c r="E21" s="9" t="s">
        <v>192</v>
      </c>
    </row>
    <row r="22" ht="15.75" customHeight="1">
      <c r="A22" s="9" t="s">
        <v>193</v>
      </c>
      <c r="B22" s="9" t="s">
        <v>194</v>
      </c>
      <c r="C22" s="9" t="s">
        <v>72</v>
      </c>
      <c r="D22" s="9" t="s">
        <v>196</v>
      </c>
      <c r="E22" s="9" t="s">
        <v>197</v>
      </c>
    </row>
    <row r="23" ht="15.75" customHeight="1">
      <c r="A23" s="9" t="s">
        <v>198</v>
      </c>
      <c r="B23" s="9" t="s">
        <v>199</v>
      </c>
      <c r="C23" s="9" t="s">
        <v>72</v>
      </c>
      <c r="D23" s="9" t="s">
        <v>201</v>
      </c>
      <c r="E23" s="9" t="s">
        <v>202</v>
      </c>
    </row>
    <row r="24" ht="15.75" customHeight="1">
      <c r="A24" s="9" t="s">
        <v>203</v>
      </c>
      <c r="B24" s="9" t="s">
        <v>204</v>
      </c>
      <c r="C24" s="9" t="s">
        <v>72</v>
      </c>
      <c r="D24" s="9" t="s">
        <v>205</v>
      </c>
      <c r="E24" s="9" t="s">
        <v>206</v>
      </c>
    </row>
    <row r="25" ht="15.75" customHeight="1">
      <c r="A25" s="9" t="s">
        <v>208</v>
      </c>
      <c r="B25" s="9" t="s">
        <v>210</v>
      </c>
      <c r="C25" s="9" t="s">
        <v>72</v>
      </c>
      <c r="D25" s="9" t="s">
        <v>211</v>
      </c>
      <c r="E25" s="9" t="s">
        <v>212</v>
      </c>
    </row>
    <row r="26" ht="15.75" customHeight="1">
      <c r="A26" s="9" t="s">
        <v>213</v>
      </c>
      <c r="B26" s="9" t="s">
        <v>214</v>
      </c>
      <c r="C26" s="9" t="s">
        <v>72</v>
      </c>
      <c r="D26" s="9" t="s">
        <v>218</v>
      </c>
      <c r="E26" s="9" t="s">
        <v>219</v>
      </c>
    </row>
    <row r="27" ht="15.75" customHeight="1">
      <c r="A27" s="9" t="s">
        <v>220</v>
      </c>
      <c r="B27" s="9" t="s">
        <v>221</v>
      </c>
      <c r="C27" s="9" t="s">
        <v>72</v>
      </c>
      <c r="D27" s="9" t="s">
        <v>222</v>
      </c>
      <c r="E27" s="9" t="s">
        <v>223</v>
      </c>
    </row>
    <row r="28" ht="15.75" customHeight="1">
      <c r="A28" s="9" t="s">
        <v>224</v>
      </c>
      <c r="B28" s="9" t="s">
        <v>225</v>
      </c>
      <c r="C28" s="9" t="s">
        <v>72</v>
      </c>
      <c r="D28" s="9" t="s">
        <v>226</v>
      </c>
      <c r="E28" s="9" t="s">
        <v>228</v>
      </c>
    </row>
    <row r="29" ht="15.75" customHeight="1">
      <c r="A29" s="9" t="s">
        <v>229</v>
      </c>
      <c r="B29" s="9" t="s">
        <v>230</v>
      </c>
      <c r="C29" s="9" t="s">
        <v>72</v>
      </c>
      <c r="D29" s="9" t="s">
        <v>231</v>
      </c>
      <c r="E29" s="9" t="s">
        <v>232</v>
      </c>
    </row>
    <row r="30" ht="15.75" customHeight="1">
      <c r="A30" s="9" t="s">
        <v>233</v>
      </c>
      <c r="B30" s="9" t="s">
        <v>234</v>
      </c>
      <c r="C30" s="9" t="s">
        <v>72</v>
      </c>
      <c r="D30" s="9" t="s">
        <v>235</v>
      </c>
      <c r="E30" s="9" t="s">
        <v>236</v>
      </c>
    </row>
    <row r="31" ht="15.75" customHeight="1">
      <c r="A31" s="9" t="s">
        <v>237</v>
      </c>
      <c r="B31" s="9" t="s">
        <v>239</v>
      </c>
      <c r="C31" s="9" t="s">
        <v>72</v>
      </c>
      <c r="D31" s="9" t="s">
        <v>240</v>
      </c>
      <c r="E31" s="9" t="s">
        <v>241</v>
      </c>
    </row>
    <row r="32" ht="15.75" customHeight="1">
      <c r="A32" s="9" t="s">
        <v>242</v>
      </c>
      <c r="B32" s="9" t="s">
        <v>243</v>
      </c>
      <c r="C32" s="9" t="s">
        <v>72</v>
      </c>
      <c r="D32" s="9" t="s">
        <v>244</v>
      </c>
      <c r="E32" s="9" t="s">
        <v>245</v>
      </c>
    </row>
    <row r="33" ht="15.75" customHeight="1">
      <c r="A33" s="9" t="s">
        <v>246</v>
      </c>
      <c r="B33" s="9" t="s">
        <v>247</v>
      </c>
      <c r="C33" s="9" t="s">
        <v>72</v>
      </c>
      <c r="D33" s="9" t="s">
        <v>248</v>
      </c>
      <c r="E33" s="9" t="s">
        <v>249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